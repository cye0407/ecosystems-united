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Assessment" sheetId="2" r:id="rId2"/>
    <sheet name="Score Guide" sheetId="3" r:id="rId3"/>
    <sheet name="Action Plan" sheetId="4" r:id="rId4"/>
    <sheet name="Season Track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Soil Microbial Health Checklist</v>
      </c>
    </row>
    <row r="2">
      <c r="A2" t="str">
        <v>Your workbook — Ecosystems United · Five Stacks, Stack 1: The Defensible Baseline</v>
      </c>
    </row>
    <row r="4">
      <c r="A4" t="str">
        <v>How to use this workbook</v>
      </c>
    </row>
    <row r="5">
      <c r="A5" t="str">
        <v>1. Open the "Assessment" sheet. For each of the 14 questions, enter your score (0, 1, or 2) in the "Your Score" column.</v>
      </c>
    </row>
    <row r="6">
      <c r="A6" t="str">
        <v>2. Your category subtotals, total, percentage, and grade calculate automatically at the bottom.</v>
      </c>
    </row>
    <row r="7">
      <c r="A7" t="str">
        <v>3. Read the "Score Guide" for what your grade means, and the "Action Plan" for what to do next.</v>
      </c>
    </row>
    <row r="8">
      <c r="A8" t="str">
        <v>4. Re-run it each season on the "Season Tracker" sheet to watch your soil biology improve over time.</v>
      </c>
    </row>
    <row r="10">
      <c r="A10" t="str">
        <v>Why it matters</v>
      </c>
    </row>
    <row r="11">
      <c r="A11" t="str">
        <v>Soil biology drives water holding, nutrient cycling, and resilience. Small management changes compound.</v>
      </c>
    </row>
    <row r="12">
      <c r="A12" t="str">
        <v>These indicators connect what is happening underground to your bottom line and to what buyers ask about.</v>
      </c>
    </row>
    <row r="14">
      <c r="A14" t="str">
        <v>More: ecosystemsunited.com/tools/soil-health-checklist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4.83203125" customWidth="1"/>
    <col min="2" max="2" width="26.83203125" customWidth="1"/>
    <col min="3" max="3" width="60.83203125" customWidth="1"/>
    <col min="4" max="4" width="30.83203125" customWidth="1"/>
    <col min="5" max="5" width="30.83203125" customWidth="1"/>
    <col min="6" max="6" width="34.83203125" customWidth="1"/>
    <col min="7" max="7" width="16.83203125" customWidth="1"/>
  </cols>
  <sheetData>
    <row r="1">
      <c r="A1" t="str">
        <v>Soil Microbial Health — Assessment</v>
      </c>
    </row>
    <row r="2">
      <c r="A2" t="str">
        <v>Enter your score (0, 1, or 2) in the last column. Totals calculate automatically.</v>
      </c>
    </row>
    <row r="4">
      <c r="A4" t="str">
        <v>#</v>
      </c>
      <c r="B4" t="str">
        <v>Category</v>
      </c>
      <c r="C4" t="str">
        <v>Question</v>
      </c>
      <c r="D4" t="str">
        <v>Score 0</v>
      </c>
      <c r="E4" t="str">
        <v>Score 1</v>
      </c>
      <c r="F4" t="str">
        <v>Score 2</v>
      </c>
      <c r="G4" t="str">
        <v>Your Score (0-2)</v>
      </c>
    </row>
    <row r="5">
      <c r="A5">
        <v>1</v>
      </c>
      <c r="B5" t="str">
        <v>Management Practices</v>
      </c>
      <c r="C5" t="str">
        <v>How often do you till or disturb your soil?</v>
      </c>
      <c r="D5" t="str">
        <v>Full tillage every season</v>
      </c>
      <c r="E5" t="str">
        <v>Reduced tillage (fewer passes or strip-till)</v>
      </c>
      <c r="F5" t="str">
        <v>No-till or minimal disturbance</v>
      </c>
    </row>
    <row r="6">
      <c r="A6">
        <v>2</v>
      </c>
      <c r="B6" t="str">
        <v>Management Practices</v>
      </c>
      <c r="C6" t="str">
        <v>How much of the year does your soil have living plant cover?</v>
      </c>
      <c r="D6" t="str">
        <v>Only during cash crop season (4-6 months)</v>
      </c>
      <c r="E6" t="str">
        <v>Extended coverage with cover crops (6-9 months)</v>
      </c>
      <c r="F6" t="str">
        <v>Year-round living roots when possible</v>
      </c>
    </row>
    <row r="7">
      <c r="A7">
        <v>3</v>
      </c>
      <c r="B7" t="str">
        <v>Management Practices</v>
      </c>
      <c r="C7" t="str">
        <v>How many different crop species are in your rotation?</v>
      </c>
      <c r="D7" t="str">
        <v>1-2 crops (e.g., corn-soy)</v>
      </c>
      <c r="E7" t="str">
        <v>3-4 crops including cover crops</v>
      </c>
      <c r="F7" t="str">
        <v>5+ species including diverse cover crop mixes</v>
      </c>
    </row>
    <row r="8">
      <c r="A8">
        <v>4</v>
      </c>
      <c r="B8" t="str">
        <v>Management Practices</v>
      </c>
      <c r="C8" t="str">
        <v>How do you approach fertilizer application?</v>
      </c>
      <c r="D8" t="str">
        <v>Standard rates based on general recommendations</v>
      </c>
      <c r="E8" t="str">
        <v>Soil-test based with some adjustments</v>
      </c>
      <c r="F8" t="str">
        <v>Precision application based on soil biology and tissue tests</v>
      </c>
    </row>
    <row r="9">
      <c r="A9">
        <v>5</v>
      </c>
      <c r="B9" t="str">
        <v>Management Practices</v>
      </c>
      <c r="C9" t="str">
        <v>How do you manage pests and diseases?</v>
      </c>
      <c r="D9" t="str">
        <v>Calendar-based or preventive chemical applications</v>
      </c>
      <c r="E9" t="str">
        <v>Scouting-based IPM with reduced chemical use</v>
      </c>
      <c r="F9" t="str">
        <v>Biological controls and diverse rotations as primary strategy</v>
      </c>
    </row>
    <row r="10">
      <c r="A10">
        <v>6</v>
      </c>
      <c r="B10" t="str">
        <v>Observable Indicators</v>
      </c>
      <c r="C10" t="str">
        <v>When you dig into your soil, what do you smell?</v>
      </c>
      <c r="D10" t="str">
        <v>Little smell, or sour/metallic odor</v>
      </c>
      <c r="E10" t="str">
        <v>Mild earthy smell</v>
      </c>
      <c r="F10" t="str">
        <v>Rich, pleasant earthy smell (like forest floor)</v>
      </c>
    </row>
    <row r="11">
      <c r="A11">
        <v>7</v>
      </c>
      <c r="B11" t="str">
        <v>Observable Indicators</v>
      </c>
      <c r="C11" t="str">
        <v>How many earthworms do you typically find in a shovel of soil (top 6 inches)?</v>
      </c>
      <c r="D11" t="str">
        <v>0-2 earthworms</v>
      </c>
      <c r="E11" t="str">
        <v>3-5 earthworms</v>
      </c>
      <c r="F11" t="str">
        <v>6+ earthworms</v>
      </c>
    </row>
    <row r="12">
      <c r="A12">
        <v>8</v>
      </c>
      <c r="B12" t="str">
        <v>Observable Indicators</v>
      </c>
      <c r="C12" t="str">
        <v>How does water infiltrate when it rains?</v>
      </c>
      <c r="D12" t="str">
        <v>Puddles and runoff, slow to absorb</v>
      </c>
      <c r="E12" t="str">
        <v>Moderate infiltration, some puddling</v>
      </c>
      <c r="F12" t="str">
        <v>Water soaks in quickly, minimal runoff</v>
      </c>
    </row>
    <row r="13">
      <c r="A13">
        <v>9</v>
      </c>
      <c r="B13" t="str">
        <v>Observable Indicators</v>
      </c>
      <c r="C13" t="str">
        <v>What does your soil structure look like when you break apart a clod?</v>
      </c>
      <c r="D13" t="str">
        <v>Dense, blocky, or powdery</v>
      </c>
      <c r="E13" t="str">
        <v>Some aggregates visible but inconsistent</v>
      </c>
      <c r="F13" t="str">
        <v>Crumbly aggregates that hold together gently</v>
      </c>
    </row>
    <row r="14">
      <c r="A14">
        <v>10</v>
      </c>
      <c r="B14" t="str">
        <v>Observable Indicators</v>
      </c>
      <c r="C14" t="str">
        <v>Do you see white fungal threads (mycorrhizae) on roots or in soil?</v>
      </c>
      <c r="D14" t="str">
        <v>Rarely or never</v>
      </c>
      <c r="E14" t="str">
        <v>Occasionally in some areas</v>
      </c>
      <c r="F14" t="str">
        <v>Regularly visible, especially on cover crop roots</v>
      </c>
    </row>
    <row r="15">
      <c r="A15">
        <v>11</v>
      </c>
      <c r="B15" t="str">
        <v>Performance &amp; Resilience</v>
      </c>
      <c r="C15" t="str">
        <v>How do your crops perform during drought stress?</v>
      </c>
      <c r="D15" t="str">
        <v>Significant yield loss, visible stress early</v>
      </c>
      <c r="E15" t="str">
        <v>Moderate stress, recovers with rain</v>
      </c>
      <c r="F15" t="str">
        <v>Maintains relatively well, less stressed than neighbors</v>
      </c>
    </row>
    <row r="16">
      <c r="A16">
        <v>12</v>
      </c>
      <c r="B16" t="str">
        <v>Performance &amp; Resilience</v>
      </c>
      <c r="C16" t="str">
        <v>How has your fertilizer requirement changed over the past 5 years?</v>
      </c>
      <c r="D16" t="str">
        <v>Increasing to maintain yields</v>
      </c>
      <c r="E16" t="str">
        <v>About the same</v>
      </c>
      <c r="F16" t="str">
        <v>Decreasing while maintaining or improving yields</v>
      </c>
    </row>
    <row r="17">
      <c r="A17">
        <v>13</v>
      </c>
      <c r="B17" t="str">
        <v>Performance &amp; Resilience</v>
      </c>
      <c r="C17" t="str">
        <v>What is your soil organic matter trend?</v>
      </c>
      <c r="D17" t="str">
        <v>Declining or unknown</v>
      </c>
      <c r="E17" t="str">
        <v>Stable</v>
      </c>
      <c r="F17" t="str">
        <v>Increasing (documented through testing)</v>
      </c>
    </row>
    <row r="18">
      <c r="A18">
        <v>14</v>
      </c>
      <c r="B18" t="str">
        <v>Performance &amp; Resilience</v>
      </c>
      <c r="C18" t="str">
        <v>How quickly do crop residues break down after harvest?</v>
      </c>
      <c r="D18" t="str">
        <v>Slowly — residue still visible at planting</v>
      </c>
      <c r="E18" t="str">
        <v>Moderate breakdown over winter</v>
      </c>
      <c r="F18" t="str">
        <v>Rapid decomposition, residue well-incorporated</v>
      </c>
    </row>
    <row r="20">
      <c r="F20" t="str">
        <v>Management Practices (max 10)</v>
      </c>
      <c r="G20">
        <f>SUM(G5:G9)</f>
        <v>0</v>
      </c>
    </row>
    <row r="21">
      <c r="F21" t="str">
        <v>Observable Indicators (max 10)</v>
      </c>
      <c r="G21">
        <f>SUM(G10:G14)</f>
        <v>0</v>
      </c>
    </row>
    <row r="22">
      <c r="F22" t="str">
        <v>Performance &amp; Resilience (max 8)</v>
      </c>
      <c r="G22">
        <f>SUM(G15:G18)</f>
        <v>0</v>
      </c>
    </row>
    <row r="23">
      <c r="F23" t="str">
        <v>TOTAL (max 28)</v>
      </c>
      <c r="G23">
        <f>SUM(G5:G18)</f>
        <v>0</v>
      </c>
    </row>
    <row r="24">
      <c r="F24" t="str">
        <v>Percentage</v>
      </c>
      <c r="G24">
        <f>ROUND(G23/28*100,0)</f>
        <v>0</v>
      </c>
    </row>
    <row r="25">
      <c r="F25" t="str">
        <v>Grade</v>
      </c>
      <c r="G25" t="str">
        <f>IF(G24&gt;=85,"A - Excellent",IF(G24&gt;=70,"B - Good",IF(G24&gt;=55,"C - Developing",IF(G24&gt;=40,"D - Needs Work","F - Critical"))))</f>
        <v>F - Critical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8.83203125" customWidth="1"/>
    <col min="2" max="2" width="12.83203125" customWidth="1"/>
    <col min="3" max="3" width="90.83203125" customWidth="1"/>
  </cols>
  <sheetData>
    <row r="1">
      <c r="A1" t="str">
        <v>Score Guide</v>
      </c>
    </row>
    <row r="3">
      <c r="A3" t="str">
        <v>Grade</v>
      </c>
      <c r="B3" t="str">
        <v>Range</v>
      </c>
      <c r="C3" t="str">
        <v>What it means</v>
      </c>
    </row>
    <row r="4">
      <c r="A4" t="str">
        <v>A</v>
      </c>
      <c r="B4" t="str">
        <v>85-100%</v>
      </c>
      <c r="C4" t="str">
        <v>Excellent — strong, functioning soil biology. Focus on documentation for market positioning and premium access.</v>
      </c>
    </row>
    <row r="5">
      <c r="A5" t="str">
        <v>B</v>
      </c>
      <c r="B5" t="str">
        <v>70-84%</v>
      </c>
      <c r="C5" t="str">
        <v>Good — healthy foundation with room to deepen. Diversify and keep the living roots going.</v>
      </c>
    </row>
    <row r="6">
      <c r="A6" t="str">
        <v>C</v>
      </c>
      <c r="B6" t="str">
        <v>55-69%</v>
      </c>
      <c r="C6" t="str">
        <v>Developing — biology is establishing. Reduce disturbance and add organic matter consistently.</v>
      </c>
    </row>
    <row r="7">
      <c r="A7" t="str">
        <v>D</v>
      </c>
      <c r="B7" t="str">
        <v>40-54%</v>
      </c>
      <c r="C7" t="str">
        <v>Needs work — soil biology is under stress. Prioritise the High-priority actions.</v>
      </c>
    </row>
    <row r="8">
      <c r="A8" t="str">
        <v>F</v>
      </c>
      <c r="B8" t="str">
        <v>Under 40%</v>
      </c>
      <c r="C8" t="str">
        <v>Critical — start with the fundamentals: cut tillage, add cover, feed the biology.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6.83203125" customWidth="1"/>
    <col min="2" max="2" width="14.83203125" customWidth="1"/>
    <col min="3" max="3" width="10.83203125" customWidth="1"/>
    <col min="4" max="4" width="90.83203125" customWidth="1"/>
  </cols>
  <sheetData>
    <row r="1">
      <c r="A1" t="str">
        <v>Action Plan</v>
      </c>
    </row>
    <row r="2">
      <c r="A2" t="str">
        <v>Match your category scores to the actions below.</v>
      </c>
    </row>
    <row r="4">
      <c r="A4" t="str">
        <v>Category</v>
      </c>
      <c r="B4" t="str">
        <v>If you scored</v>
      </c>
      <c r="C4" t="str">
        <v>Priority</v>
      </c>
      <c r="D4" t="str">
        <v>Action</v>
      </c>
    </row>
    <row r="5">
      <c r="A5" t="str">
        <v>Management Practices</v>
      </c>
      <c r="B5" t="str">
        <v>Under 50%</v>
      </c>
      <c r="C5" t="str">
        <v>High</v>
      </c>
      <c r="D5" t="str">
        <v>Reduce tillage intensity. Even one fewer pass per season helps fungal networks establish.</v>
      </c>
    </row>
    <row r="6">
      <c r="A6" t="str">
        <v>Management Practices</v>
      </c>
      <c r="B6" t="str">
        <v>Under 50%</v>
      </c>
      <c r="C6" t="str">
        <v>High</v>
      </c>
      <c r="D6" t="str">
        <v>Add cover crops. Start with a simple cereal rye after harvest — low cost, high impact.</v>
      </c>
    </row>
    <row r="7">
      <c r="A7" t="str">
        <v>Management Practices</v>
      </c>
      <c r="B7" t="str">
        <v>50-75%</v>
      </c>
      <c r="C7" t="str">
        <v>Medium</v>
      </c>
      <c r="D7" t="str">
        <v>Diversify your cover crop mix. Add a legume for nitrogen fixation and a brassica for deep rooting.</v>
      </c>
    </row>
    <row r="8">
      <c r="A8" t="str">
        <v>Observable Indicators</v>
      </c>
      <c r="B8" t="str">
        <v>Under 50%</v>
      </c>
      <c r="C8" t="str">
        <v>High</v>
      </c>
      <c r="D8" t="str">
        <v>Your soil biology needs support. Focus on reducing disturbance and adding organic matter.</v>
      </c>
    </row>
    <row r="9">
      <c r="A9" t="str">
        <v>Observable Indicators</v>
      </c>
      <c r="B9" t="str">
        <v>Under 50%</v>
      </c>
      <c r="C9" t="str">
        <v>Medium</v>
      </c>
      <c r="D9" t="str">
        <v>Do a simple infiltration test monthly. Pour a gallon of water and time absorption.</v>
      </c>
    </row>
    <row r="10">
      <c r="A10" t="str">
        <v>Observable Indicators</v>
      </c>
      <c r="B10" t="str">
        <v>50-75%</v>
      </c>
      <c r="C10" t="str">
        <v>Medium</v>
      </c>
      <c r="D10" t="str">
        <v>Consider mycorrhizal inoculants for high-value crops to boost fungal colonization.</v>
      </c>
    </row>
    <row r="11">
      <c r="A11" t="str">
        <v>Performance &amp; Resilience</v>
      </c>
      <c r="B11" t="str">
        <v>Under 50%</v>
      </c>
      <c r="C11" t="str">
        <v>High</v>
      </c>
      <c r="D11" t="str">
        <v>Track organic matter annually. It predicts water holding, nutrient cycling, and resilience.</v>
      </c>
    </row>
    <row r="12">
      <c r="A12" t="str">
        <v>All categories</v>
      </c>
      <c r="B12" t="str">
        <v>75%+</v>
      </c>
      <c r="C12" t="str">
        <v>Maintain</v>
      </c>
      <c r="D12" t="str">
        <v>Your soil biology is strong. Document it for market positioning and premium access.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4.83203125" customWidth="1"/>
    <col min="2" max="2" width="12.83203125" customWidth="1"/>
    <col min="3" max="3" width="13.83203125" customWidth="1"/>
    <col min="4" max="4" width="14.83203125" customWidth="1"/>
    <col min="5" max="5" width="10.83203125" customWidth="1"/>
    <col min="6" max="6" width="16.83203125" customWidth="1"/>
    <col min="7" max="7" width="40.83203125" customWidth="1"/>
  </cols>
  <sheetData>
    <row r="1">
      <c r="A1" t="str">
        <v>Season Tracker</v>
      </c>
    </row>
    <row r="2">
      <c r="A2" t="str">
        <v>Re-run the assessment each season and log your results here to watch the trend.</v>
      </c>
    </row>
    <row r="4">
      <c r="A4" t="str">
        <v>Date</v>
      </c>
      <c r="B4" t="str">
        <v>Practices %</v>
      </c>
      <c r="C4" t="str">
        <v>Indicators %</v>
      </c>
      <c r="D4" t="str">
        <v>Performance %</v>
      </c>
      <c r="E4" t="str">
        <v>Total %</v>
      </c>
      <c r="F4" t="str">
        <v>Grade</v>
      </c>
      <c r="G4" t="str">
        <v>Notes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Assessment</vt:lpstr>
      <vt:lpstr>Score Guide</vt:lpstr>
      <vt:lpstr>Action Plan</vt:lpstr>
      <vt:lpstr>Season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