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Ecosystems United Brand\CSRD\"/>
    </mc:Choice>
  </mc:AlternateContent>
  <xr:revisionPtr revIDLastSave="0" documentId="13_ncr:1_{6E04EF8E-6941-44EF-89C5-E0A5257075B9}" xr6:coauthVersionLast="36" xr6:coauthVersionMax="36" xr10:uidLastSave="{00000000-0000-0000-0000-000000000000}"/>
  <workbookProtection workbookAlgorithmName="SHA-512" workbookHashValue="TMgdz0B8zCv6Pdkb7Y/7Va1FTGYq9VXjPrruArvKOZzKNBxqzvz8Z9B+P6Ah+P5hzNUI0c6jSmYIqcP0ZRbMrQ==" workbookSaltValue="C5yKdVmsuBrwcqotFl/3iA==" workbookSpinCount="100000" lockStructure="1"/>
  <bookViews>
    <workbookView xWindow="0" yWindow="0" windowWidth="23040" windowHeight="8940" xr2:uid="{00000000-000D-0000-FFFF-FFFF00000000}"/>
  </bookViews>
  <sheets>
    <sheet name="Instructions" sheetId="1" r:id="rId1"/>
    <sheet name="Scorecard" sheetId="2" r:id="rId2"/>
    <sheet name="Your Results" sheetId="3" r:id="rId3"/>
    <sheet name="Data_Validation" sheetId="4" state="hidden" r:id="rId4"/>
  </sheets>
  <calcPr calcId="191029"/>
</workbook>
</file>

<file path=xl/calcChain.xml><?xml version="1.0" encoding="utf-8"?>
<calcChain xmlns="http://schemas.openxmlformats.org/spreadsheetml/2006/main">
  <c r="D5" i="3" l="1"/>
  <c r="D8" i="3"/>
  <c r="E8" i="3" s="1"/>
  <c r="D7" i="3"/>
  <c r="F7" i="3" s="1"/>
  <c r="D6" i="3"/>
  <c r="E6" i="3" s="1"/>
  <c r="C14" i="3" l="1"/>
  <c r="C16" i="3" s="1"/>
  <c r="F6" i="3"/>
  <c r="F8" i="3"/>
  <c r="C11" i="3"/>
  <c r="E5" i="3"/>
  <c r="E7" i="3"/>
  <c r="F5" i="3"/>
  <c r="C15" i="3" l="1"/>
  <c r="C13" i="3"/>
  <c r="C12" i="3"/>
</calcChain>
</file>

<file path=xl/sharedStrings.xml><?xml version="1.0" encoding="utf-8"?>
<sst xmlns="http://schemas.openxmlformats.org/spreadsheetml/2006/main" count="107" uniqueCount="94">
  <si>
    <t>CSRD Readiness Scorecard</t>
  </si>
  <si>
    <t>How to Use This Tool</t>
  </si>
  <si>
    <t>1. Make a copy of the file (File --&gt; Make a copy)</t>
  </si>
  <si>
    <t>2. Go to the Scorecard tab</t>
  </si>
  <si>
    <t>3. Answer each Yes/No question - Your readiness score will calculate automatically</t>
  </si>
  <si>
    <t>4. Review your results and next steps in the 'Results' tab</t>
  </si>
  <si>
    <t>What You Will Learn</t>
  </si>
  <si>
    <t>✓ Your current CSRD readiness level (Scored 0-20)</t>
  </si>
  <si>
    <t>✓ Which ESRS areas need immediate attention</t>
  </si>
  <si>
    <t>✓ Your realistic timeline to first CSRD report</t>
  </si>
  <si>
    <t>✓ Specific preparation steps for your situation</t>
  </si>
  <si>
    <t>What This Free Tool Includes</t>
  </si>
  <si>
    <t>This scorecard gives you a quick assessment of where you stand. It answers: 'Am I ready to start CSRD reporting?'</t>
  </si>
  <si>
    <t>Want the Complete System?</t>
  </si>
  <si>
    <t>Complete your first CSRD report in 30 days (not 6 months).</t>
  </si>
  <si>
    <t>Section 1: CSRD Applicability &amp; Timeline</t>
  </si>
  <si>
    <t>Question</t>
  </si>
  <si>
    <t>Why It Matters</t>
  </si>
  <si>
    <t>Answer</t>
  </si>
  <si>
    <t>Do you know if CSRD applies to your company?</t>
  </si>
  <si>
    <t>CSRD has phased deadlines based on company size.</t>
  </si>
  <si>
    <t>No</t>
  </si>
  <si>
    <t>Have you identified your reporting deadline?</t>
  </si>
  <si>
    <t>Different companies report in 2025, 2026, or 2027.</t>
  </si>
  <si>
    <t>Does your company have &gt;250 employees OR &gt;€50M revenue OR &gt;€25M assets?</t>
  </si>
  <si>
    <t>Determines if you're subject to CSRD requirements.</t>
  </si>
  <si>
    <t>Are you part of a value chain for a CSRD-reporting company?</t>
  </si>
  <si>
    <t>Even if not required, you may face supplier data requests.</t>
  </si>
  <si>
    <t>Have you communicated CSRD requirements to leadership?</t>
  </si>
  <si>
    <t>Executive buy-in is essential for resources and priority.</t>
  </si>
  <si>
    <t>Section 2: Data Foundation &amp; Systems</t>
  </si>
  <si>
    <t>Do you track energy consumption (electricity, gas, fuel)?</t>
  </si>
  <si>
    <t>Required for ESRS E1 (Climate Change).</t>
  </si>
  <si>
    <t>Do you track water usage and waste generation?</t>
  </si>
  <si>
    <t>Required for ESRS E3 (Water) and E5 (Waste).</t>
  </si>
  <si>
    <t>Do you have 12+ months of environmental data available?</t>
  </si>
  <si>
    <t>Baseline data is needed for year-over-year comparisons.</t>
  </si>
  <si>
    <t>Can you collect Scope 3 data from suppliers?</t>
  </si>
  <si>
    <t>Scope 3 (value chain) is often 70-90% of total emissions.</t>
  </si>
  <si>
    <t>Do you track workforce metrics (employees, contractors, safety)?</t>
  </si>
  <si>
    <t>Required for ESRS S1 (Own Workforce).</t>
  </si>
  <si>
    <t>Section 3: Materiality Assessment Readiness</t>
  </si>
  <si>
    <t>Have you identified your key stakeholders?</t>
  </si>
  <si>
    <t>Stakeholder input is required for materiality assessment.</t>
  </si>
  <si>
    <t>Can you assess impacts on environment, people, and economy?</t>
  </si>
  <si>
    <t>Double materiality = impact materiality + financial materiality.</t>
  </si>
  <si>
    <t>Do you understand which ESRS topics apply to your business?</t>
  </si>
  <si>
    <t>Not all 12 ESRS topics will be material to every company.</t>
  </si>
  <si>
    <t>Have you documented your value chain (upstream and downstream)?</t>
  </si>
  <si>
    <t>Required to assess value chain impacts (Scope 3).</t>
  </si>
  <si>
    <t>Can you dedicate 20+ hours to complete materiality assessment?</t>
  </si>
  <si>
    <t>Realistic time commitment for first-time reporters.</t>
  </si>
  <si>
    <t>Section 4: Organizational Capacity</t>
  </si>
  <si>
    <t>Is someone designated as the CSRD project owner?</t>
  </si>
  <si>
    <t>Accountability is critical for on-time delivery.</t>
  </si>
  <si>
    <t>Do you have budget for CSRD (tools, training, or consulting)?</t>
  </si>
  <si>
    <t>Even DIY approaches require some investment.</t>
  </si>
  <si>
    <t>Can your team dedicate 50-100 hours for first report?</t>
  </si>
  <si>
    <t>First report takes significantly more time than subsequent ones.</t>
  </si>
  <si>
    <t>Do you have buy-in from finance, operations, and HR teams?</t>
  </si>
  <si>
    <t>CSRD requires cross-functional collaboration.</t>
  </si>
  <si>
    <t>Are you prepared for external assurance/audit in 2-3 years?</t>
  </si>
  <si>
    <t>Limited assurance starts in 2026-2028 depending on company size.</t>
  </si>
  <si>
    <t>Your CSRD Readiness Scorecard Results</t>
  </si>
  <si>
    <t>Section</t>
  </si>
  <si>
    <t>Max Score</t>
  </si>
  <si>
    <t>Your Score</t>
  </si>
  <si>
    <t>Your Progress</t>
  </si>
  <si>
    <t>% Complete</t>
  </si>
  <si>
    <t>CSRD Applicability &amp; Timeline</t>
  </si>
  <si>
    <t>Data Foundation &amp; Systems</t>
  </si>
  <si>
    <t>Materiality Assessment Readiness</t>
  </si>
  <si>
    <t>Organizational Capacity</t>
  </si>
  <si>
    <t>Your Readiness Score</t>
  </si>
  <si>
    <t>Readiness Level:</t>
  </si>
  <si>
    <t>What This Means:</t>
  </si>
  <si>
    <t>Focus Area:</t>
  </si>
  <si>
    <t>Next Steps:</t>
  </si>
  <si>
    <t>Need help closing your gaps?</t>
  </si>
  <si>
    <t>Yes</t>
  </si>
  <si>
    <t xml:space="preserve">© Cat Yeldi 2025 | Ecosystems United | All Rights Reserved    </t>
  </si>
  <si>
    <t>© Cat Yeldi 2025 | Ecosystems United | All Rights Reserved</t>
  </si>
  <si>
    <t>→ Choose Your CSRD Toolkit: https://ecosystemsunited.com/csrd-toolkits-for-smes</t>
  </si>
  <si>
    <t>https://ecosystemsunited.com/</t>
  </si>
  <si>
    <t>Once you know your gaps, our CSRD Toolkit helps you close them fast:</t>
  </si>
  <si>
    <t>✓ Complete materiality assessment framework (finish in 2-4 hours, not 2 weeks)</t>
  </si>
  <si>
    <t>✓ Supplier response templates for CSRD, CDP, and ESG questionnaires</t>
  </si>
  <si>
    <t>✓ 12-month data tracker (auto-calculating, audit-ready)</t>
  </si>
  <si>
    <t>✓ Action tracker linking sustainability initiatives to material topics</t>
  </si>
  <si>
    <t>✓ Timeline planner with auto-calculated deadlines</t>
  </si>
  <si>
    <t>3 tiers starting at €49. Choose what fits your needs.</t>
  </si>
  <si>
    <t>Our CSRD Toolkit includes materiality assessment, data templates, supplier response tools, and timeline planning. 3 tiers starting at €49.</t>
  </si>
  <si>
    <t>→ Choose your toolkit: https://ecosystemsunited.com/csrd-toolkits-for-smes</t>
  </si>
  <si>
    <t>Which tier? Your score helps decide: 0-40% = Basics (€49) | 41-70% = Essentials (€147) | 71-100% = Pro (€297)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</si>
</sst>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4"/>
      <color rgb="FF5B4BA8"/>
      <name val="Calibri"/>
      <family val="2"/>
    </font>
    <font>
      <b/>
      <sz val="12"/>
      <color rgb="FF5B4BA8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5B4BA8"/>
      <name val="Calibri"/>
      <family val="2"/>
    </font>
    <font>
      <b/>
      <sz val="11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9"/>
      <color theme="0" tint="-0.249977111117893"/>
      <name val="Calibri"/>
      <family val="2"/>
      <scheme val="minor"/>
    </font>
    <font>
      <b/>
      <sz val="24"/>
      <color theme="1"/>
      <name val="Calibri"/>
      <family val="2"/>
    </font>
    <font>
      <b/>
      <sz val="12"/>
      <color rgb="FF44CC89"/>
      <name val="Calibri"/>
      <family val="2"/>
    </font>
    <font>
      <b/>
      <sz val="12"/>
      <color rgb="FF44CC8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5F4"/>
        <bgColor rgb="FFE8E5F4"/>
      </patternFill>
    </fill>
    <fill>
      <patternFill patternType="solid">
        <fgColor rgb="FFE8E5F4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2" xfId="0" applyBorder="1" applyAlignment="1">
      <alignment horizontal="left" indent="1"/>
    </xf>
    <xf numFmtId="0" fontId="1" fillId="0" borderId="2" xfId="0" applyFont="1" applyBorder="1" applyAlignment="1">
      <alignment horizontal="left" indent="1"/>
    </xf>
    <xf numFmtId="0" fontId="6" fillId="0" borderId="2" xfId="0" applyFont="1" applyBorder="1" applyAlignment="1">
      <alignment horizontal="left" indent="1"/>
    </xf>
    <xf numFmtId="0" fontId="0" fillId="0" borderId="0" xfId="0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 indent="1"/>
    </xf>
    <xf numFmtId="0" fontId="3" fillId="0" borderId="4" xfId="0" applyFont="1" applyFill="1" applyBorder="1" applyAlignment="1">
      <alignment horizontal="left" indent="1"/>
    </xf>
    <xf numFmtId="0" fontId="0" fillId="0" borderId="0" xfId="0" applyBorder="1" applyAlignment="1">
      <alignment horizontal="left" indent="1"/>
    </xf>
    <xf numFmtId="0" fontId="0" fillId="0" borderId="0" xfId="0" applyBorder="1" applyAlignment="1">
      <alignment horizontal="center"/>
    </xf>
    <xf numFmtId="0" fontId="3" fillId="0" borderId="8" xfId="0" applyFont="1" applyFill="1" applyBorder="1" applyAlignment="1">
      <alignment horizontal="left" indent="1"/>
    </xf>
    <xf numFmtId="0" fontId="3" fillId="0" borderId="9" xfId="0" applyFont="1" applyFill="1" applyBorder="1" applyAlignment="1">
      <alignment horizontal="center"/>
    </xf>
    <xf numFmtId="0" fontId="0" fillId="0" borderId="8" xfId="0" applyBorder="1" applyAlignment="1">
      <alignment horizontal="left" indent="1"/>
    </xf>
    <xf numFmtId="0" fontId="0" fillId="0" borderId="10" xfId="0" applyBorder="1" applyAlignment="1">
      <alignment horizontal="left" indent="1"/>
    </xf>
    <xf numFmtId="0" fontId="0" fillId="0" borderId="11" xfId="0" applyBorder="1" applyAlignment="1">
      <alignment horizontal="left" indent="1"/>
    </xf>
    <xf numFmtId="0" fontId="9" fillId="0" borderId="0" xfId="0" applyFont="1"/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9" fontId="0" fillId="0" borderId="12" xfId="0" applyNumberFormat="1" applyBorder="1" applyAlignment="1">
      <alignment horizontal="center"/>
    </xf>
    <xf numFmtId="0" fontId="10" fillId="0" borderId="0" xfId="0" applyFont="1" applyAlignment="1">
      <alignment horizontal="left"/>
    </xf>
    <xf numFmtId="0" fontId="5" fillId="0" borderId="0" xfId="1" applyFont="1" applyBorder="1" applyAlignment="1">
      <alignment horizontal="left" vertical="top" indent="1"/>
    </xf>
    <xf numFmtId="0" fontId="2" fillId="3" borderId="5" xfId="0" applyFont="1" applyFill="1" applyBorder="1" applyAlignment="1">
      <alignment horizontal="left" indent="1"/>
    </xf>
    <xf numFmtId="0" fontId="2" fillId="3" borderId="6" xfId="0" applyFont="1" applyFill="1" applyBorder="1" applyAlignment="1">
      <alignment horizontal="left" indent="1"/>
    </xf>
    <xf numFmtId="0" fontId="2" fillId="3" borderId="7" xfId="0" applyFont="1" applyFill="1" applyBorder="1" applyAlignment="1">
      <alignment horizontal="left" indent="1"/>
    </xf>
    <xf numFmtId="9" fontId="7" fillId="0" borderId="14" xfId="0" applyNumberFormat="1" applyFont="1" applyBorder="1" applyAlignment="1">
      <alignment horizontal="left" indent="1"/>
    </xf>
    <xf numFmtId="9" fontId="7" fillId="0" borderId="15" xfId="0" applyNumberFormat="1" applyFont="1" applyBorder="1" applyAlignment="1">
      <alignment horizontal="left" indent="1"/>
    </xf>
    <xf numFmtId="0" fontId="8" fillId="0" borderId="4" xfId="0" applyFont="1" applyBorder="1" applyAlignment="1">
      <alignment horizontal="left" indent="1"/>
    </xf>
    <xf numFmtId="0" fontId="8" fillId="0" borderId="9" xfId="0" applyFont="1" applyBorder="1" applyAlignment="1">
      <alignment horizontal="left" indent="1"/>
    </xf>
    <xf numFmtId="0" fontId="4" fillId="0" borderId="4" xfId="0" applyFont="1" applyBorder="1" applyAlignment="1">
      <alignment horizontal="left" wrapText="1" indent="1"/>
    </xf>
    <xf numFmtId="0" fontId="4" fillId="0" borderId="9" xfId="0" applyFont="1" applyBorder="1" applyAlignment="1">
      <alignment horizontal="left" wrapText="1" indent="1"/>
    </xf>
    <xf numFmtId="0" fontId="11" fillId="0" borderId="4" xfId="0" applyFont="1" applyBorder="1" applyAlignment="1">
      <alignment horizontal="left" indent="1"/>
    </xf>
    <xf numFmtId="0" fontId="11" fillId="0" borderId="9" xfId="0" applyFont="1" applyBorder="1" applyAlignment="1">
      <alignment horizontal="left" indent="1"/>
    </xf>
    <xf numFmtId="0" fontId="11" fillId="0" borderId="11" xfId="0" applyFont="1" applyBorder="1" applyAlignment="1">
      <alignment horizontal="left" indent="1"/>
    </xf>
    <xf numFmtId="0" fontId="11" fillId="0" borderId="12" xfId="0" applyFont="1" applyBorder="1" applyAlignment="1">
      <alignment horizontal="left" indent="1"/>
    </xf>
    <xf numFmtId="0" fontId="13" fillId="0" borderId="0" xfId="0" applyFont="1" applyBorder="1" applyAlignment="1">
      <alignment horizontal="right" indent="1"/>
    </xf>
    <xf numFmtId="0" fontId="3" fillId="2" borderId="13" xfId="0" applyFont="1" applyFill="1" applyBorder="1" applyAlignment="1">
      <alignment horizontal="left" indent="1"/>
    </xf>
    <xf numFmtId="0" fontId="0" fillId="0" borderId="0" xfId="0" applyAlignment="1">
      <alignment horizontal="left" indent="1"/>
    </xf>
    <xf numFmtId="0" fontId="6" fillId="3" borderId="13" xfId="0" applyFont="1" applyFill="1" applyBorder="1" applyAlignment="1">
      <alignment horizontal="left" indent="1"/>
    </xf>
    <xf numFmtId="0" fontId="6" fillId="3" borderId="8" xfId="0" applyFont="1" applyFill="1" applyBorder="1" applyAlignment="1">
      <alignment horizontal="left" indent="1"/>
    </xf>
    <xf numFmtId="0" fontId="6" fillId="3" borderId="10" xfId="0" applyFont="1" applyFill="1" applyBorder="1" applyAlignment="1">
      <alignment horizontal="left" indent="1"/>
    </xf>
    <xf numFmtId="0" fontId="14" fillId="0" borderId="1" xfId="0" applyFont="1" applyBorder="1" applyAlignment="1">
      <alignment horizontal="left" indent="1"/>
    </xf>
    <xf numFmtId="0" fontId="15" fillId="0" borderId="0" xfId="0" applyFont="1" applyBorder="1" applyAlignment="1">
      <alignment horizontal="left" indent="1"/>
    </xf>
    <xf numFmtId="0" fontId="0" fillId="0" borderId="9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13" fillId="0" borderId="0" xfId="0" applyFont="1" applyBorder="1" applyAlignment="1">
      <alignment horizontal="center"/>
    </xf>
    <xf numFmtId="0" fontId="0" fillId="0" borderId="3" xfId="0" applyBorder="1"/>
    <xf numFmtId="0" fontId="13" fillId="0" borderId="0" xfId="1" applyFont="1" applyBorder="1" applyAlignment="1">
      <alignment vertical="top"/>
    </xf>
    <xf numFmtId="0" fontId="13" fillId="0" borderId="0" xfId="0" applyFont="1" applyBorder="1" applyAlignment="1">
      <alignment horizontal="center"/>
    </xf>
    <xf numFmtId="0" fontId="16" fillId="0" borderId="2" xfId="1" applyFont="1" applyBorder="1" applyAlignment="1">
      <alignment horizontal="left" indent="1"/>
    </xf>
    <xf numFmtId="0" fontId="6" fillId="3" borderId="16" xfId="0" applyFont="1" applyFill="1" applyBorder="1" applyAlignment="1">
      <alignment horizontal="left" indent="1"/>
    </xf>
    <xf numFmtId="0" fontId="0" fillId="0" borderId="17" xfId="0" applyBorder="1" applyAlignment="1">
      <alignment horizontal="left" indent="1"/>
    </xf>
    <xf numFmtId="0" fontId="0" fillId="0" borderId="18" xfId="0" applyBorder="1" applyAlignment="1">
      <alignment horizontal="left" indent="1"/>
    </xf>
    <xf numFmtId="0" fontId="0" fillId="0" borderId="19" xfId="0" applyBorder="1" applyAlignment="1">
      <alignment horizontal="left" indent="1"/>
    </xf>
  </cellXfs>
  <cellStyles count="2">
    <cellStyle name="Hyperlink" xfId="1" builtinId="8"/>
    <cellStyle name="Normal" xfId="0" builtinId="0"/>
  </cellStyles>
  <dxfs count="8">
    <dxf>
      <font>
        <color rgb="FFC00000"/>
      </font>
      <fill>
        <patternFill>
          <bgColor rgb="FFFF9999"/>
        </patternFill>
      </fill>
    </dxf>
    <dxf>
      <font>
        <color theme="6" tint="-0.499984740745262"/>
      </font>
      <fill>
        <patternFill>
          <bgColor theme="6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6" tint="-0.499984740745262"/>
      </font>
      <fill>
        <patternFill>
          <bgColor theme="6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6" tint="-0.499984740745262"/>
      </font>
      <fill>
        <patternFill>
          <bgColor theme="6" tint="0.3999450666829432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6" tint="-0.499984740745262"/>
      </font>
      <fill>
        <patternFill>
          <bgColor theme="6" tint="0.39994506668294322"/>
        </patternFill>
      </fill>
    </dxf>
  </dxfs>
  <tableStyles count="0" defaultTableStyle="TableStyleMedium9" defaultPivotStyle="PivotStyleLight16"/>
  <colors>
    <mruColors>
      <color rgb="FF44CC89"/>
      <color rgb="FFE8E5F4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160020</xdr:rowOff>
    </xdr:from>
    <xdr:to>
      <xdr:col>0</xdr:col>
      <xdr:colOff>861060</xdr:colOff>
      <xdr:row>1</xdr:row>
      <xdr:rowOff>558216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98F0ED-F4CD-4B12-A8E7-6C2487721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160020"/>
          <a:ext cx="754380" cy="5810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1</xdr:row>
      <xdr:rowOff>38100</xdr:rowOff>
    </xdr:from>
    <xdr:to>
      <xdr:col>0</xdr:col>
      <xdr:colOff>845820</xdr:colOff>
      <xdr:row>2</xdr:row>
      <xdr:rowOff>47676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3E2877-D5A2-47C5-BE26-0BEE2EB3C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20980"/>
          <a:ext cx="754380" cy="5810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1</xdr:row>
      <xdr:rowOff>45720</xdr:rowOff>
    </xdr:from>
    <xdr:to>
      <xdr:col>0</xdr:col>
      <xdr:colOff>845820</xdr:colOff>
      <xdr:row>3</xdr:row>
      <xdr:rowOff>70536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449F8F-BED3-4007-B818-0FFE37509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411480"/>
          <a:ext cx="754380" cy="5810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cosystemsunited.com/csrd-toolkits-for-smes" TargetMode="External"/><Relationship Id="rId1" Type="http://schemas.openxmlformats.org/officeDocument/2006/relationships/hyperlink" Target="https://ecosystemsunited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cosystemsunited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ecosystemsunited.com/" TargetMode="External"/><Relationship Id="rId1" Type="http://schemas.openxmlformats.org/officeDocument/2006/relationships/hyperlink" Target="https://ecosystemsunited.com/csrd-toolkits-for-sm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36"/>
  <sheetViews>
    <sheetView showGridLines="0" tabSelected="1" zoomScale="90" zoomScaleNormal="90" workbookViewId="0">
      <selection activeCell="B43" sqref="B43"/>
    </sheetView>
  </sheetViews>
  <sheetFormatPr defaultRowHeight="14.4" x14ac:dyDescent="0.3"/>
  <cols>
    <col min="1" max="1" width="14.6640625" style="4" customWidth="1"/>
    <col min="2" max="2" width="100" style="4" customWidth="1"/>
    <col min="3" max="16384" width="8.88671875" style="4"/>
  </cols>
  <sheetData>
    <row r="1" spans="2:2" ht="14.4" customHeight="1" thickBot="1" x14ac:dyDescent="0.35"/>
    <row r="2" spans="2:2" ht="45" customHeight="1" x14ac:dyDescent="0.6">
      <c r="B2" s="42" t="s">
        <v>0</v>
      </c>
    </row>
    <row r="3" spans="2:2" x14ac:dyDescent="0.3">
      <c r="B3" s="1"/>
    </row>
    <row r="4" spans="2:2" ht="18" x14ac:dyDescent="0.35">
      <c r="B4" s="2" t="s">
        <v>1</v>
      </c>
    </row>
    <row r="5" spans="2:2" x14ac:dyDescent="0.3">
      <c r="B5" s="1" t="s">
        <v>2</v>
      </c>
    </row>
    <row r="6" spans="2:2" x14ac:dyDescent="0.3">
      <c r="B6" s="1" t="s">
        <v>3</v>
      </c>
    </row>
    <row r="7" spans="2:2" x14ac:dyDescent="0.3">
      <c r="B7" s="1" t="s">
        <v>4</v>
      </c>
    </row>
    <row r="8" spans="2:2" x14ac:dyDescent="0.3">
      <c r="B8" s="1" t="s">
        <v>5</v>
      </c>
    </row>
    <row r="9" spans="2:2" x14ac:dyDescent="0.3">
      <c r="B9" s="1"/>
    </row>
    <row r="10" spans="2:2" ht="18" x14ac:dyDescent="0.35">
      <c r="B10" s="2" t="s">
        <v>6</v>
      </c>
    </row>
    <row r="11" spans="2:2" x14ac:dyDescent="0.3">
      <c r="B11" s="1" t="s">
        <v>7</v>
      </c>
    </row>
    <row r="12" spans="2:2" x14ac:dyDescent="0.3">
      <c r="B12" s="1" t="s">
        <v>8</v>
      </c>
    </row>
    <row r="13" spans="2:2" x14ac:dyDescent="0.3">
      <c r="B13" s="1" t="s">
        <v>9</v>
      </c>
    </row>
    <row r="14" spans="2:2" x14ac:dyDescent="0.3">
      <c r="B14" s="1" t="s">
        <v>10</v>
      </c>
    </row>
    <row r="15" spans="2:2" x14ac:dyDescent="0.3">
      <c r="B15" s="1"/>
    </row>
    <row r="16" spans="2:2" ht="18" x14ac:dyDescent="0.35">
      <c r="B16" s="2" t="s">
        <v>11</v>
      </c>
    </row>
    <row r="17" spans="2:2" x14ac:dyDescent="0.3">
      <c r="B17" s="1" t="s">
        <v>12</v>
      </c>
    </row>
    <row r="18" spans="2:2" x14ac:dyDescent="0.3">
      <c r="B18" s="1"/>
    </row>
    <row r="19" spans="2:2" ht="18" x14ac:dyDescent="0.35">
      <c r="B19" s="2" t="s">
        <v>13</v>
      </c>
    </row>
    <row r="20" spans="2:2" x14ac:dyDescent="0.3">
      <c r="B20" s="1" t="s">
        <v>84</v>
      </c>
    </row>
    <row r="21" spans="2:2" x14ac:dyDescent="0.3">
      <c r="B21" s="1"/>
    </row>
    <row r="22" spans="2:2" x14ac:dyDescent="0.3">
      <c r="B22" s="1" t="s">
        <v>85</v>
      </c>
    </row>
    <row r="23" spans="2:2" x14ac:dyDescent="0.3">
      <c r="B23" s="1" t="s">
        <v>86</v>
      </c>
    </row>
    <row r="24" spans="2:2" x14ac:dyDescent="0.3">
      <c r="B24" s="1" t="s">
        <v>87</v>
      </c>
    </row>
    <row r="25" spans="2:2" x14ac:dyDescent="0.3">
      <c r="B25" s="1" t="s">
        <v>88</v>
      </c>
    </row>
    <row r="26" spans="2:2" x14ac:dyDescent="0.3">
      <c r="B26" s="1" t="s">
        <v>89</v>
      </c>
    </row>
    <row r="27" spans="2:2" x14ac:dyDescent="0.3">
      <c r="B27" s="1"/>
    </row>
    <row r="28" spans="2:2" x14ac:dyDescent="0.3">
      <c r="B28" s="3" t="s">
        <v>14</v>
      </c>
    </row>
    <row r="29" spans="2:2" x14ac:dyDescent="0.3">
      <c r="B29" s="1"/>
    </row>
    <row r="30" spans="2:2" x14ac:dyDescent="0.3">
      <c r="B30" s="1" t="s">
        <v>90</v>
      </c>
    </row>
    <row r="31" spans="2:2" x14ac:dyDescent="0.3">
      <c r="B31" s="1"/>
    </row>
    <row r="32" spans="2:2" x14ac:dyDescent="0.3">
      <c r="B32" s="1"/>
    </row>
    <row r="33" spans="2:2" ht="15.6" x14ac:dyDescent="0.3">
      <c r="B33" s="50" t="s">
        <v>82</v>
      </c>
    </row>
    <row r="34" spans="2:2" ht="18" customHeight="1" thickBot="1" x14ac:dyDescent="0.35">
      <c r="B34" s="47"/>
    </row>
    <row r="35" spans="2:2" x14ac:dyDescent="0.3">
      <c r="B35" s="46" t="s">
        <v>80</v>
      </c>
    </row>
    <row r="36" spans="2:2" x14ac:dyDescent="0.3">
      <c r="B36" s="46" t="s">
        <v>83</v>
      </c>
    </row>
  </sheetData>
  <sheetProtection algorithmName="SHA-512" hashValue="laxFd2MkCkHp5JEYchqcKpdPXEjeBBbVltsylyAzvzf4VqLXRsaDLzbs5nmNu0F5HpXKmIY+wI8J0waBYmgJbg==" saltValue="ZgBONO8g1WU1Rqcbd7HD9Q==" spinCount="100000" sheet="1" objects="1" scenarios="1"/>
  <hyperlinks>
    <hyperlink ref="B36" r:id="rId1" xr:uid="{706A9EB0-3786-4F8A-90F1-B895F424B727}"/>
    <hyperlink ref="B33" r:id="rId2" xr:uid="{894E3F03-742D-41C8-8856-C414DAC29905}"/>
  </hyperlinks>
  <pageMargins left="0.75" right="0.75" top="1" bottom="1" header="0.5" footer="0.5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42"/>
  <sheetViews>
    <sheetView showGridLines="0" topLeftCell="A2" workbookViewId="0">
      <selection activeCell="D6" sqref="D6:D10"/>
    </sheetView>
  </sheetViews>
  <sheetFormatPr defaultRowHeight="14.4" x14ac:dyDescent="0.3"/>
  <cols>
    <col min="1" max="1" width="13.44140625" customWidth="1"/>
    <col min="2" max="2" width="71.44140625" customWidth="1"/>
    <col min="3" max="3" width="57.88671875" customWidth="1"/>
    <col min="4" max="4" width="12" customWidth="1"/>
  </cols>
  <sheetData>
    <row r="2" spans="2:4" ht="45" customHeight="1" x14ac:dyDescent="0.55000000000000004">
      <c r="B2" s="21" t="s">
        <v>0</v>
      </c>
    </row>
    <row r="3" spans="2:4" ht="15" thickBot="1" x14ac:dyDescent="0.35"/>
    <row r="4" spans="2:4" ht="15.6" x14ac:dyDescent="0.3">
      <c r="B4" s="23" t="s">
        <v>15</v>
      </c>
      <c r="C4" s="24"/>
      <c r="D4" s="25"/>
    </row>
    <row r="5" spans="2:4" x14ac:dyDescent="0.3">
      <c r="B5" s="10" t="s">
        <v>16</v>
      </c>
      <c r="C5" s="7" t="s">
        <v>17</v>
      </c>
      <c r="D5" s="11" t="s">
        <v>18</v>
      </c>
    </row>
    <row r="6" spans="2:4" x14ac:dyDescent="0.3">
      <c r="B6" s="12" t="s">
        <v>19</v>
      </c>
      <c r="C6" s="6" t="s">
        <v>20</v>
      </c>
      <c r="D6" s="44"/>
    </row>
    <row r="7" spans="2:4" x14ac:dyDescent="0.3">
      <c r="B7" s="12" t="s">
        <v>22</v>
      </c>
      <c r="C7" s="6" t="s">
        <v>23</v>
      </c>
      <c r="D7" s="44"/>
    </row>
    <row r="8" spans="2:4" x14ac:dyDescent="0.3">
      <c r="B8" s="12" t="s">
        <v>24</v>
      </c>
      <c r="C8" s="6" t="s">
        <v>25</v>
      </c>
      <c r="D8" s="44"/>
    </row>
    <row r="9" spans="2:4" x14ac:dyDescent="0.3">
      <c r="B9" s="12" t="s">
        <v>26</v>
      </c>
      <c r="C9" s="6" t="s">
        <v>27</v>
      </c>
      <c r="D9" s="44"/>
    </row>
    <row r="10" spans="2:4" ht="15" thickBot="1" x14ac:dyDescent="0.35">
      <c r="B10" s="13" t="s">
        <v>28</v>
      </c>
      <c r="C10" s="14" t="s">
        <v>29</v>
      </c>
      <c r="D10" s="45"/>
    </row>
    <row r="11" spans="2:4" s="4" customFormat="1" ht="15" thickBot="1" x14ac:dyDescent="0.35">
      <c r="B11" s="8"/>
      <c r="C11" s="8"/>
      <c r="D11" s="9"/>
    </row>
    <row r="12" spans="2:4" ht="15.6" x14ac:dyDescent="0.3">
      <c r="B12" s="23" t="s">
        <v>30</v>
      </c>
      <c r="C12" s="24"/>
      <c r="D12" s="25"/>
    </row>
    <row r="13" spans="2:4" x14ac:dyDescent="0.3">
      <c r="B13" s="10" t="s">
        <v>16</v>
      </c>
      <c r="C13" s="7" t="s">
        <v>17</v>
      </c>
      <c r="D13" s="11" t="s">
        <v>18</v>
      </c>
    </row>
    <row r="14" spans="2:4" x14ac:dyDescent="0.3">
      <c r="B14" s="12" t="s">
        <v>31</v>
      </c>
      <c r="C14" s="6" t="s">
        <v>32</v>
      </c>
      <c r="D14" s="44"/>
    </row>
    <row r="15" spans="2:4" x14ac:dyDescent="0.3">
      <c r="B15" s="12" t="s">
        <v>33</v>
      </c>
      <c r="C15" s="6" t="s">
        <v>34</v>
      </c>
      <c r="D15" s="44"/>
    </row>
    <row r="16" spans="2:4" x14ac:dyDescent="0.3">
      <c r="B16" s="12" t="s">
        <v>35</v>
      </c>
      <c r="C16" s="6" t="s">
        <v>36</v>
      </c>
      <c r="D16" s="44"/>
    </row>
    <row r="17" spans="2:4" x14ac:dyDescent="0.3">
      <c r="B17" s="12" t="s">
        <v>37</v>
      </c>
      <c r="C17" s="6" t="s">
        <v>38</v>
      </c>
      <c r="D17" s="44"/>
    </row>
    <row r="18" spans="2:4" ht="15" thickBot="1" x14ac:dyDescent="0.35">
      <c r="B18" s="13" t="s">
        <v>39</v>
      </c>
      <c r="C18" s="14" t="s">
        <v>40</v>
      </c>
      <c r="D18" s="45"/>
    </row>
    <row r="19" spans="2:4" s="4" customFormat="1" ht="15" thickBot="1" x14ac:dyDescent="0.35">
      <c r="B19" s="8"/>
      <c r="C19" s="8"/>
      <c r="D19" s="9"/>
    </row>
    <row r="20" spans="2:4" ht="15.6" x14ac:dyDescent="0.3">
      <c r="B20" s="23" t="s">
        <v>41</v>
      </c>
      <c r="C20" s="24"/>
      <c r="D20" s="25"/>
    </row>
    <row r="21" spans="2:4" x14ac:dyDescent="0.3">
      <c r="B21" s="10" t="s">
        <v>16</v>
      </c>
      <c r="C21" s="7" t="s">
        <v>17</v>
      </c>
      <c r="D21" s="11" t="s">
        <v>18</v>
      </c>
    </row>
    <row r="22" spans="2:4" x14ac:dyDescent="0.3">
      <c r="B22" s="12" t="s">
        <v>42</v>
      </c>
      <c r="C22" s="6" t="s">
        <v>43</v>
      </c>
      <c r="D22" s="44"/>
    </row>
    <row r="23" spans="2:4" x14ac:dyDescent="0.3">
      <c r="B23" s="12" t="s">
        <v>44</v>
      </c>
      <c r="C23" s="6" t="s">
        <v>45</v>
      </c>
      <c r="D23" s="44"/>
    </row>
    <row r="24" spans="2:4" x14ac:dyDescent="0.3">
      <c r="B24" s="12" t="s">
        <v>46</v>
      </c>
      <c r="C24" s="6" t="s">
        <v>47</v>
      </c>
      <c r="D24" s="44"/>
    </row>
    <row r="25" spans="2:4" x14ac:dyDescent="0.3">
      <c r="B25" s="12" t="s">
        <v>48</v>
      </c>
      <c r="C25" s="6" t="s">
        <v>49</v>
      </c>
      <c r="D25" s="44"/>
    </row>
    <row r="26" spans="2:4" ht="15" thickBot="1" x14ac:dyDescent="0.35">
      <c r="B26" s="13" t="s">
        <v>50</v>
      </c>
      <c r="C26" s="14" t="s">
        <v>51</v>
      </c>
      <c r="D26" s="45"/>
    </row>
    <row r="27" spans="2:4" s="4" customFormat="1" ht="15" thickBot="1" x14ac:dyDescent="0.35">
      <c r="B27" s="8"/>
      <c r="C27" s="8"/>
      <c r="D27" s="8"/>
    </row>
    <row r="28" spans="2:4" ht="15.6" x14ac:dyDescent="0.3">
      <c r="B28" s="23" t="s">
        <v>52</v>
      </c>
      <c r="C28" s="24"/>
      <c r="D28" s="25"/>
    </row>
    <row r="29" spans="2:4" x14ac:dyDescent="0.3">
      <c r="B29" s="10" t="s">
        <v>16</v>
      </c>
      <c r="C29" s="7" t="s">
        <v>17</v>
      </c>
      <c r="D29" s="11" t="s">
        <v>18</v>
      </c>
    </row>
    <row r="30" spans="2:4" x14ac:dyDescent="0.3">
      <c r="B30" s="12" t="s">
        <v>53</v>
      </c>
      <c r="C30" s="6" t="s">
        <v>54</v>
      </c>
      <c r="D30" s="44"/>
    </row>
    <row r="31" spans="2:4" x14ac:dyDescent="0.3">
      <c r="B31" s="12" t="s">
        <v>55</v>
      </c>
      <c r="C31" s="6" t="s">
        <v>56</v>
      </c>
      <c r="D31" s="44"/>
    </row>
    <row r="32" spans="2:4" x14ac:dyDescent="0.3">
      <c r="B32" s="12" t="s">
        <v>57</v>
      </c>
      <c r="C32" s="6" t="s">
        <v>58</v>
      </c>
      <c r="D32" s="44"/>
    </row>
    <row r="33" spans="1:4" x14ac:dyDescent="0.3">
      <c r="B33" s="12" t="s">
        <v>59</v>
      </c>
      <c r="C33" s="6" t="s">
        <v>60</v>
      </c>
      <c r="D33" s="44"/>
    </row>
    <row r="34" spans="1:4" ht="15" thickBot="1" x14ac:dyDescent="0.35">
      <c r="B34" s="13" t="s">
        <v>61</v>
      </c>
      <c r="C34" s="14" t="s">
        <v>62</v>
      </c>
      <c r="D34" s="45"/>
    </row>
    <row r="36" spans="1:4" x14ac:dyDescent="0.3">
      <c r="B36" s="49" t="s">
        <v>81</v>
      </c>
      <c r="C36" s="49"/>
      <c r="D36" s="49"/>
    </row>
    <row r="37" spans="1:4" x14ac:dyDescent="0.3">
      <c r="A37" s="4"/>
      <c r="B37" s="49" t="s">
        <v>83</v>
      </c>
      <c r="C37" s="49"/>
      <c r="D37" s="49"/>
    </row>
    <row r="38" spans="1:4" x14ac:dyDescent="0.3">
      <c r="A38" s="4"/>
      <c r="D38" s="48"/>
    </row>
    <row r="39" spans="1:4" x14ac:dyDescent="0.3">
      <c r="A39" s="4"/>
      <c r="C39" s="4"/>
    </row>
    <row r="40" spans="1:4" x14ac:dyDescent="0.3">
      <c r="A40" s="4"/>
      <c r="B40" s="4"/>
      <c r="C40" s="4"/>
    </row>
    <row r="41" spans="1:4" x14ac:dyDescent="0.3">
      <c r="A41" s="4"/>
      <c r="B41" s="4"/>
      <c r="C41" s="4"/>
    </row>
    <row r="42" spans="1:4" x14ac:dyDescent="0.3">
      <c r="A42" s="4"/>
      <c r="B42" s="4"/>
      <c r="C42" s="4"/>
    </row>
  </sheetData>
  <sheetProtection algorithmName="SHA-512" hashValue="qhUGJ92NbDEvnEvKfiueFyVEBEt569WYnbShFz1Ipmbs5bHU55SR03GzbCvf4XpQmlF8g4DIN1zIDtGbG+iImw==" saltValue="oNaM5CZsb8G7SgrNj/dz8A==" spinCount="100000" sheet="1" objects="1" scenarios="1"/>
  <mergeCells count="6">
    <mergeCell ref="B36:D36"/>
    <mergeCell ref="B37:D37"/>
    <mergeCell ref="B4:D4"/>
    <mergeCell ref="B12:D12"/>
    <mergeCell ref="B20:D20"/>
    <mergeCell ref="B28:D28"/>
  </mergeCells>
  <conditionalFormatting sqref="D6:D10">
    <cfRule type="containsText" dxfId="7" priority="7" operator="containsText" text="Yes">
      <formula>NOT(ISERROR(SEARCH("Yes",D6)))</formula>
    </cfRule>
    <cfRule type="containsText" dxfId="6" priority="8" operator="containsText" text="No">
      <formula>NOT(ISERROR(SEARCH("No",D6)))</formula>
    </cfRule>
  </conditionalFormatting>
  <conditionalFormatting sqref="D14:D18">
    <cfRule type="containsText" dxfId="5" priority="5" operator="containsText" text="Yes">
      <formula>NOT(ISERROR(SEARCH("Yes",D14)))</formula>
    </cfRule>
    <cfRule type="containsText" dxfId="4" priority="6" operator="containsText" text="No">
      <formula>NOT(ISERROR(SEARCH("No",D14)))</formula>
    </cfRule>
  </conditionalFormatting>
  <conditionalFormatting sqref="D22:D26">
    <cfRule type="containsText" dxfId="3" priority="3" operator="containsText" text="Yes">
      <formula>NOT(ISERROR(SEARCH("Yes",D22)))</formula>
    </cfRule>
    <cfRule type="containsText" dxfId="2" priority="4" operator="containsText" text="No">
      <formula>NOT(ISERROR(SEARCH("No",D22)))</formula>
    </cfRule>
  </conditionalFormatting>
  <conditionalFormatting sqref="D30:D34">
    <cfRule type="containsText" dxfId="1" priority="1" operator="containsText" text="Yes">
      <formula>NOT(ISERROR(SEARCH("Yes",D30)))</formula>
    </cfRule>
    <cfRule type="containsText" dxfId="0" priority="2" operator="containsText" text="No">
      <formula>NOT(ISERROR(SEARCH("No",D30)))</formula>
    </cfRule>
  </conditionalFormatting>
  <dataValidations count="1">
    <dataValidation type="list" errorTitle="Invalid Entry" error="Please select Yes or No" sqref="D6 D7 D8 D9 D10 D14 D15 D16 D17 D18 D22 D23 D24 D25 D26 D30 D31 D32 D33 D34" xr:uid="{00000000-0002-0000-0100-000000000000}">
      <formula1>"Yes,No"</formula1>
    </dataValidation>
  </dataValidations>
  <hyperlinks>
    <hyperlink ref="B37" r:id="rId1" xr:uid="{A9409EFD-AB21-4154-82C2-D4EE7A976535}"/>
  </hyperlinks>
  <pageMargins left="0.75" right="0.75" top="1" bottom="1" header="0.5" footer="0.5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31"/>
  <sheetViews>
    <sheetView showGridLines="0" topLeftCell="A14" workbookViewId="0">
      <selection activeCell="B24" sqref="B24"/>
    </sheetView>
  </sheetViews>
  <sheetFormatPr defaultRowHeight="14.4" x14ac:dyDescent="0.3"/>
  <cols>
    <col min="1" max="1" width="14.5546875" customWidth="1"/>
    <col min="2" max="2" width="35" customWidth="1"/>
    <col min="3" max="6" width="20.77734375" customWidth="1"/>
  </cols>
  <sheetData>
    <row r="2" spans="2:6" ht="28.8" x14ac:dyDescent="0.55000000000000004">
      <c r="B2" s="21" t="s">
        <v>63</v>
      </c>
    </row>
    <row r="3" spans="2:6" ht="15" thickBot="1" x14ac:dyDescent="0.35"/>
    <row r="4" spans="2:6" x14ac:dyDescent="0.3">
      <c r="B4" s="37" t="s">
        <v>64</v>
      </c>
      <c r="C4" s="16" t="s">
        <v>65</v>
      </c>
      <c r="D4" s="16" t="s">
        <v>66</v>
      </c>
      <c r="E4" s="16" t="s">
        <v>67</v>
      </c>
      <c r="F4" s="17" t="s">
        <v>68</v>
      </c>
    </row>
    <row r="5" spans="2:6" x14ac:dyDescent="0.3">
      <c r="B5" s="12" t="s">
        <v>69</v>
      </c>
      <c r="C5" s="5">
        <v>5</v>
      </c>
      <c r="D5" s="5">
        <f>COUNTIF(Scorecard!D6:D10,"Yes")</f>
        <v>0</v>
      </c>
      <c r="E5" s="5" t="str">
        <f>REPT("█",D5)&amp;REPT("░",C5-D5)&amp;" "&amp;D5&amp;"/"&amp;C5</f>
        <v>░░░░░ 0/5</v>
      </c>
      <c r="F5" s="18">
        <f>D5/C5</f>
        <v>0</v>
      </c>
    </row>
    <row r="6" spans="2:6" x14ac:dyDescent="0.3">
      <c r="B6" s="12" t="s">
        <v>70</v>
      </c>
      <c r="C6" s="5">
        <v>5</v>
      </c>
      <c r="D6" s="5">
        <f>COUNTIF(Scorecard!D14:D18,"Yes")</f>
        <v>0</v>
      </c>
      <c r="E6" s="5" t="str">
        <f>REPT("█",D6)&amp;REPT("░",C6-D6)&amp;" "&amp;D6&amp;"/"&amp;C6</f>
        <v>░░░░░ 0/5</v>
      </c>
      <c r="F6" s="18">
        <f>D6/C6</f>
        <v>0</v>
      </c>
    </row>
    <row r="7" spans="2:6" x14ac:dyDescent="0.3">
      <c r="B7" s="12" t="s">
        <v>71</v>
      </c>
      <c r="C7" s="5">
        <v>5</v>
      </c>
      <c r="D7" s="5">
        <f>COUNTIF(Scorecard!D22:D26,"Yes")</f>
        <v>0</v>
      </c>
      <c r="E7" s="5" t="str">
        <f>REPT("█",D7)&amp;REPT("░",C7-D7)&amp;" "&amp;D7&amp;"/"&amp;C7</f>
        <v>░░░░░ 0/5</v>
      </c>
      <c r="F7" s="18">
        <f>D7/C7</f>
        <v>0</v>
      </c>
    </row>
    <row r="8" spans="2:6" ht="15" thickBot="1" x14ac:dyDescent="0.35">
      <c r="B8" s="13" t="s">
        <v>72</v>
      </c>
      <c r="C8" s="19">
        <v>5</v>
      </c>
      <c r="D8" s="19">
        <f>COUNTIF(Scorecard!D30:D34,"Yes")</f>
        <v>0</v>
      </c>
      <c r="E8" s="19" t="str">
        <f>REPT("█",D8)&amp;REPT("░",C8-D8)&amp;" "&amp;D8&amp;"/"&amp;C8</f>
        <v>░░░░░ 0/5</v>
      </c>
      <c r="F8" s="20">
        <f>D8/C8</f>
        <v>0</v>
      </c>
    </row>
    <row r="9" spans="2:6" x14ac:dyDescent="0.3">
      <c r="B9" s="38"/>
    </row>
    <row r="10" spans="2:6" ht="15" thickBot="1" x14ac:dyDescent="0.35">
      <c r="B10" s="38"/>
    </row>
    <row r="11" spans="2:6" x14ac:dyDescent="0.3">
      <c r="B11" s="39" t="s">
        <v>73</v>
      </c>
      <c r="C11" s="26">
        <f>SUM(D5:D8)/20</f>
        <v>0</v>
      </c>
      <c r="D11" s="26"/>
      <c r="E11" s="26"/>
      <c r="F11" s="27"/>
    </row>
    <row r="12" spans="2:6" x14ac:dyDescent="0.3">
      <c r="B12" s="40" t="s">
        <v>74</v>
      </c>
      <c r="C12" s="28" t="str">
        <f>IF(C11&gt;=0.85,"✅ Ready to Start",IF(C11&gt;=0.65,"⚠️ Almost Ready",IF(C11&gt;=0.45,"🟡 Getting There","🚫 Not Ready Yet")))</f>
        <v>🚫 Not Ready Yet</v>
      </c>
      <c r="D12" s="28"/>
      <c r="E12" s="28"/>
      <c r="F12" s="29"/>
    </row>
    <row r="13" spans="2:6" x14ac:dyDescent="0.3">
      <c r="B13" s="40" t="s">
        <v>75</v>
      </c>
      <c r="C13" s="30" t="str">
        <f>IF(C11&gt;=0.85,"You have strong foundations. Timeline: Start now, complete first report in 30-60 days.",IF(C11&gt;=0.65,"Address a few gaps. Timeline: 2-3 months to first report.",IF(C11&gt;=0.45,"Build data systems first. Timeline: 3-6 months.",IF(C11&gt;=0.25,"Start with environmental management. Timeline: 6-12 months.","Focus on basics first. Timeline: 12+ months."))))</f>
        <v>Focus on basics first. Timeline: 12+ months.</v>
      </c>
      <c r="D13" s="30"/>
      <c r="E13" s="30"/>
      <c r="F13" s="31"/>
    </row>
    <row r="14" spans="2:6" x14ac:dyDescent="0.3">
      <c r="B14" s="40" t="s">
        <v>76</v>
      </c>
      <c r="C14" s="32" t="str">
        <f>IF(D5=MIN(D5:D8),"CSRD Applicability &amp; Timeline",IF(D6=MIN(D5:D8),"Data Foundation &amp; Systems",IF(D7=MIN(D5:D8),"Materiality Assessment Readiness","Organizational Capacity")))</f>
        <v>CSRD Applicability &amp; Timeline</v>
      </c>
      <c r="D14" s="32"/>
      <c r="E14" s="32"/>
      <c r="F14" s="33"/>
    </row>
    <row r="15" spans="2:6" x14ac:dyDescent="0.3">
      <c r="B15" s="51"/>
      <c r="C15" s="52" t="str">
        <f>IF(C11&gt;=0.71,"CSRD Pro (€297) - Advanced features",IF(C11&gt;=0.41,"⭐ CSRD Essentials (€147) - Most popular",IF(C11&gt;=0,"CSRD Basics (€49) - Perfect start","")))</f>
        <v>CSRD Basics (€49) - Perfect start</v>
      </c>
      <c r="D15" s="53"/>
      <c r="E15" s="53"/>
      <c r="F15" s="54"/>
    </row>
    <row r="16" spans="2:6" ht="15" thickBot="1" x14ac:dyDescent="0.35">
      <c r="B16" s="41" t="s">
        <v>77</v>
      </c>
      <c r="C16" s="34" t="str">
        <f>IF(C14="CSRD Applicability &amp; Timeline","Confirm CSRD deadlines and secure leadership buy-in.",IF(C14="Data Foundation &amp; Systems","Start tracking energy, water, waste, and workforce metrics.",IF(C14="Materiality Assessment Readiness","Map stakeholders and document your value chain.","Assign a project owner and allocate budget/time.")))</f>
        <v>Confirm CSRD deadlines and secure leadership buy-in.</v>
      </c>
      <c r="D16" s="34"/>
      <c r="E16" s="34"/>
      <c r="F16" s="35"/>
    </row>
    <row r="18" spans="1:7" ht="23.4" x14ac:dyDescent="0.45">
      <c r="B18" s="15" t="s">
        <v>78</v>
      </c>
    </row>
    <row r="20" spans="1:7" x14ac:dyDescent="0.3">
      <c r="B20" t="s">
        <v>91</v>
      </c>
    </row>
    <row r="22" spans="1:7" x14ac:dyDescent="0.3">
      <c r="B22" t="s">
        <v>93</v>
      </c>
    </row>
    <row r="24" spans="1:7" ht="15.6" x14ac:dyDescent="0.3">
      <c r="A24" s="4"/>
      <c r="B24" s="43" t="s">
        <v>92</v>
      </c>
    </row>
    <row r="26" spans="1:7" x14ac:dyDescent="0.3">
      <c r="B26" s="8"/>
      <c r="C26" s="4"/>
      <c r="D26" s="4"/>
      <c r="E26" s="4"/>
      <c r="F26" s="4"/>
      <c r="G26" s="4"/>
    </row>
    <row r="27" spans="1:7" x14ac:dyDescent="0.3">
      <c r="B27" s="22"/>
      <c r="C27" s="4"/>
      <c r="D27" s="4"/>
      <c r="E27" s="4"/>
      <c r="F27" s="4"/>
      <c r="G27" s="4"/>
    </row>
    <row r="28" spans="1:7" x14ac:dyDescent="0.3">
      <c r="B28" s="4"/>
      <c r="C28" s="36" t="s">
        <v>81</v>
      </c>
      <c r="D28" s="36"/>
      <c r="E28" s="36"/>
      <c r="F28" s="36"/>
      <c r="G28" s="4"/>
    </row>
    <row r="29" spans="1:7" x14ac:dyDescent="0.3">
      <c r="D29" s="4"/>
      <c r="E29" s="36" t="s">
        <v>83</v>
      </c>
      <c r="F29" s="36"/>
      <c r="G29" s="4"/>
    </row>
    <row r="30" spans="1:7" x14ac:dyDescent="0.3">
      <c r="D30" s="4"/>
      <c r="E30" s="4"/>
      <c r="F30" s="4"/>
      <c r="G30" s="4"/>
    </row>
    <row r="31" spans="1:7" x14ac:dyDescent="0.3">
      <c r="D31" s="4"/>
      <c r="E31" s="4"/>
      <c r="F31" s="4"/>
      <c r="G31" s="4"/>
    </row>
  </sheetData>
  <sheetProtection algorithmName="SHA-512" hashValue="YLpZzM+5ljWs2etZ5cCQ82iLHa5Gh64AULDy+mRzCuSyod885BJ+B/SIxvSntqf481KiB/xLfCca2m4jXTMzXg==" saltValue="bT+vMLfUFUmwko1hKzeVfw==" spinCount="100000" sheet="1" objects="1" scenarios="1"/>
  <mergeCells count="8">
    <mergeCell ref="E29:F29"/>
    <mergeCell ref="C28:F28"/>
    <mergeCell ref="C11:F11"/>
    <mergeCell ref="C12:F12"/>
    <mergeCell ref="C13:F13"/>
    <mergeCell ref="C14:F14"/>
    <mergeCell ref="C16:F16"/>
    <mergeCell ref="C15:F15"/>
  </mergeCells>
  <hyperlinks>
    <hyperlink ref="B24" r:id="rId1" display="→ Get CSRD Essentials: https://ecosystemsunited.com/csrd-toolkits-for-smes" xr:uid="{5EDC31FF-A4E7-46C1-8046-9E739377AE60}"/>
    <hyperlink ref="E29" r:id="rId2" xr:uid="{EA4FFD55-8ED0-49EF-A79B-F194A2F953CF}"/>
  </hyperlinks>
  <pageMargins left="0.75" right="0.75" top="1" bottom="1" header="0.5" footer="0.5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2"/>
  <sheetViews>
    <sheetView workbookViewId="0"/>
  </sheetViews>
  <sheetFormatPr defaultRowHeight="14.4" x14ac:dyDescent="0.3"/>
  <sheetData>
    <row r="1" spans="2:2" x14ac:dyDescent="0.3">
      <c r="B1" t="s">
        <v>79</v>
      </c>
    </row>
    <row r="2" spans="2:2" x14ac:dyDescent="0.3">
      <c r="B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Scorecard</vt:lpstr>
      <vt:lpstr>Your Results</vt:lpstr>
      <vt:lpstr>Data_Validation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2025-10-27T12:57:37Z</dcterms:created>
  <dcterms:modified xsi:type="dcterms:W3CDTF">2025-11-03T13:43:46Z</dcterms:modified>
</cp:coreProperties>
</file>