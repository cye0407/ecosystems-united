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ur Transition ROI" state="visible" r:id="rId4"/>
  </sheets>
  <calcPr calcId="171027"/>
</workbook>
</file>

<file path=xl/sharedStrings.xml><?xml version="1.0" encoding="utf-8"?>
<sst xmlns="http://schemas.openxmlformats.org/spreadsheetml/2006/main" count="34" uniqueCount="33">
  <si>
    <t>Regenerative Transition ROI Model</t>
  </si>
  <si>
    <t>Ecosystems United  ·  edit the yellow cells — the J-curve, payback year and 10-year net update automatically. Directional, not a forecast.</t>
  </si>
  <si>
    <t>Your inputs</t>
  </si>
  <si>
    <t>Farm size</t>
  </si>
  <si>
    <t>ha</t>
  </si>
  <si>
    <t>Current input spend (fertiliser + crop protection)</t>
  </si>
  <si>
    <t>€/ha/yr</t>
  </si>
  <si>
    <t>Gross margin</t>
  </si>
  <si>
    <t>Up-front transition cost (per 2-practice transition)</t>
  </si>
  <si>
    <t>€/ha</t>
  </si>
  <si>
    <t>Number of practices adopted</t>
  </si>
  <si>
    <t>1-4</t>
  </si>
  <si>
    <t>Include carbon income? (1 = yes, 0 = no)</t>
  </si>
  <si>
    <t>Carbon price</t>
  </si>
  <si>
    <t>€/tCO2e</t>
  </si>
  <si>
    <t>Sequestration rate</t>
  </si>
  <si>
    <t>tCO2e/ha/yr</t>
  </si>
  <si>
    <t>Savings multiplier (from practices)</t>
  </si>
  <si>
    <t>Cost scale (from practices)</t>
  </si>
  <si>
    <t>Year</t>
  </si>
  <si>
    <t>Savings ramp</t>
  </si>
  <si>
    <t>Yield dip</t>
  </si>
  <si>
    <t>Input savings €</t>
  </si>
  <si>
    <t>Yield dip €</t>
  </si>
  <si>
    <t>Carbon €</t>
  </si>
  <si>
    <t>Up-front €</t>
  </si>
  <si>
    <t>Net €</t>
  </si>
  <si>
    <t>Cumulative €</t>
  </si>
  <si>
    <t>Payback year</t>
  </si>
  <si>
    <t>10-year cumulative net</t>
  </si>
  <si>
    <t>10-year net per hectare</t>
  </si>
  <si>
    <t>Make this real: track your actual inputs, soil and costs for free at ecosystemsunited.com/tracker — then the payback stops being an estimate.</t>
  </si>
  <si>
    <t>Directional estimate, not a forecast. The ramps and dips are starting assumptions from published ranges (input-cost savings ~15-40% over 3-5 years; transition yield dip ~8% in year 1) — adjust every yellow cell to your own records and validate with an agronomist. Carbon income requires additionality and third-party verification and is never guaranteed. © Ecosystems United — free to share.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</si>
</sst>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€"/>
  </numFmts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FFFFFF"/>
      <sz val="10"/>
    </font>
    <font>
      <b/>
      <color rgb="FF1E3D30"/>
      <sz val="12"/>
    </font>
    <font>
      <sz val="10"/>
    </font>
    <font>
      <color rgb="FF888888"/>
      <sz val="9"/>
    </font>
    <font>
      <b/>
      <color rgb="FFFFFFFF"/>
    </font>
    <font>
      <b/>
    </font>
    <font>
      <b/>
      <u/>
      <color rgb="FF1E3D30"/>
      <sz val="10"/>
    </font>
    <font>
      <i/>
      <color rgb="FF666666"/>
      <sz val="9"/>
    </font>
  </fonts>
  <fills count="6">
    <fill>
      <patternFill patternType="none"/>
    </fill>
    <fill>
      <patternFill patternType="gray125"/>
    </fill>
    <fill>
      <patternFill patternType="solid">
        <fgColor rgb="FF1E3D30"/>
      </patternFill>
    </fill>
    <fill>
      <patternFill patternType="solid">
        <fgColor rgb="FF2D5A47"/>
      </patternFill>
    </fill>
    <fill>
      <patternFill patternType="solid">
        <fgColor rgb="FFFFF7D6"/>
      </patternFill>
    </fill>
    <fill>
      <patternFill patternType="solid">
        <fgColor rgb="FFEAF1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0" xfId="0" applyFont="1"/>
    <xf numFmtId="0" fontId="4" fillId="0" borderId="0" xfId="0" applyFont="1" applyAlignment="1">
      <alignment vertical="center" indent="1"/>
    </xf>
    <xf numFmtId="0" fontId="0" fillId="4" borderId="1" xfId="0" applyFill="1" applyBorder="1" applyAlignment="1">
      <alignment horizontal="center"/>
    </xf>
    <xf numFmtId="0" fontId="5" fillId="0" borderId="0" xfId="0" applyFont="1" applyAlignment="1">
      <alignment indent="1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indent="1"/>
    </xf>
    <xf numFmtId="9" fontId="0" fillId="4" borderId="0" xfId="0" applyNumberFormat="1" applyFill="1" applyAlignment="1">
      <alignment horizontal="center"/>
    </xf>
    <xf numFmtId="3" fontId="0" fillId="0" borderId="0" xfId="0" applyNumberFormat="1" applyAlignment="1">
      <alignment horizontal="right"/>
    </xf>
    <xf numFmtId="0" fontId="6" fillId="2" borderId="0" xfId="0" applyFont="1" applyFill="1" applyAlignment="1">
      <alignment vertical="center" indent="1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indent="1"/>
    </xf>
    <xf numFmtId="164" fontId="0" fillId="0" borderId="0" xfId="0" applyNumberFormat="1"/>
    <xf numFmtId="0" fontId="0" fillId="0" borderId="0" xfId="0" applyAlignment="1">
      <alignment indent="1"/>
    </xf>
    <xf numFmtId="0" fontId="8" fillId="5" borderId="0" xfId="0" applyFont="1" applyFill="1" applyAlignment="1">
      <alignment vertical="center" wrapText="1" indent="1"/>
    </xf>
    <xf numFmtId="0" fontId="9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cosystemsunited.com/trac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9" width="14" customWidth="1"/>
    <col min="11" max="11" width="9" hidden="1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1" x14ac:dyDescent="0.25">
      <c r="A4" s="3" t="s">
        <v>2</v>
      </c>
    </row>
    <row r="5" spans="1:3" x14ac:dyDescent="0.25">
      <c r="A5" s="4" t="s">
        <v>3</v>
      </c>
      <c r="B5" s="5">
        <v>100</v>
      </c>
      <c r="C5" s="6" t="s">
        <v>4</v>
      </c>
    </row>
    <row r="6" spans="1:3" x14ac:dyDescent="0.25">
      <c r="A6" s="4" t="s">
        <v>5</v>
      </c>
      <c r="B6" s="5">
        <v>350</v>
      </c>
      <c r="C6" s="6" t="s">
        <v>6</v>
      </c>
    </row>
    <row r="7" spans="1:3" x14ac:dyDescent="0.25">
      <c r="A7" s="4" t="s">
        <v>7</v>
      </c>
      <c r="B7" s="5">
        <v>800</v>
      </c>
      <c r="C7" s="6" t="s">
        <v>6</v>
      </c>
    </row>
    <row r="8" spans="1:3" x14ac:dyDescent="0.25">
      <c r="A8" s="4" t="s">
        <v>8</v>
      </c>
      <c r="B8" s="5">
        <v>120</v>
      </c>
      <c r="C8" s="6" t="s">
        <v>9</v>
      </c>
    </row>
    <row r="9" spans="1:3" x14ac:dyDescent="0.25">
      <c r="A9" s="4" t="s">
        <v>10</v>
      </c>
      <c r="B9" s="5">
        <v>2</v>
      </c>
      <c r="C9" s="6" t="s">
        <v>11</v>
      </c>
    </row>
    <row r="10" spans="1:2" x14ac:dyDescent="0.25">
      <c r="A10" s="4" t="s">
        <v>12</v>
      </c>
      <c r="B10" s="5">
        <v>0</v>
      </c>
    </row>
    <row r="11" spans="1:3" x14ac:dyDescent="0.25">
      <c r="A11" s="4" t="s">
        <v>13</v>
      </c>
      <c r="B11" s="5">
        <v>30</v>
      </c>
      <c r="C11" s="6" t="s">
        <v>14</v>
      </c>
    </row>
    <row r="12" spans="1:3" x14ac:dyDescent="0.25">
      <c r="A12" s="4" t="s">
        <v>15</v>
      </c>
      <c r="B12" s="5">
        <v>0.5</v>
      </c>
      <c r="C12" s="6" t="s">
        <v>16</v>
      </c>
    </row>
    <row r="14" spans="1:2" x14ac:dyDescent="0.25">
      <c r="A14" s="4" t="s">
        <v>17</v>
      </c>
      <c r="B14" s="7">
        <f>0.75+0.125*B9</f>
      </c>
    </row>
    <row r="15" spans="1:2" x14ac:dyDescent="0.25">
      <c r="A15" s="4" t="s">
        <v>18</v>
      </c>
      <c r="B15" s="7">
        <f>B9/2</f>
      </c>
    </row>
    <row r="17" ht="28" customHeight="1" spans="1:9" x14ac:dyDescent="0.25">
      <c r="A17" s="8" t="s">
        <v>19</v>
      </c>
      <c r="B17" s="9" t="s">
        <v>20</v>
      </c>
      <c r="C17" s="9" t="s">
        <v>21</v>
      </c>
      <c r="D17" s="9" t="s">
        <v>22</v>
      </c>
      <c r="E17" s="9" t="s">
        <v>23</v>
      </c>
      <c r="F17" s="9" t="s">
        <v>24</v>
      </c>
      <c r="G17" s="9" t="s">
        <v>25</v>
      </c>
      <c r="H17" s="9" t="s">
        <v>26</v>
      </c>
      <c r="I17" s="9" t="s">
        <v>27</v>
      </c>
    </row>
    <row r="18" spans="1:11" x14ac:dyDescent="0.25">
      <c r="A18" s="10">
        <v>1</v>
      </c>
      <c r="B18" s="11">
        <v>0.05</v>
      </c>
      <c r="C18" s="11">
        <v>0.08</v>
      </c>
      <c r="D18" s="12">
        <f>$B$6*$B$5*B18*$B$14</f>
      </c>
      <c r="E18" s="12">
        <f>$B$7*$B$5*C18</f>
      </c>
      <c r="F18" s="12">
        <f>IF(AND($B$10=1,A18&gt;=2),$B$5*$B$12*$B$11,0)</f>
      </c>
      <c r="G18" s="12">
        <f>IF(A18=1,$B$8*$B$15*$B$5,0)</f>
      </c>
      <c r="H18" s="12">
        <f>D18+F18-E18-G18</f>
      </c>
      <c r="I18" s="12">
        <f>H18</f>
      </c>
      <c r="K18">
        <f>IF(I18&gt;=0,A18,9999)</f>
      </c>
    </row>
    <row r="19" spans="1:11" x14ac:dyDescent="0.25">
      <c r="A19" s="10">
        <v>2</v>
      </c>
      <c r="B19" s="11">
        <v>0.12</v>
      </c>
      <c r="C19" s="11">
        <v>0.04</v>
      </c>
      <c r="D19" s="12">
        <f>$B$6*$B$5*B19*$B$14</f>
      </c>
      <c r="E19" s="12">
        <f>$B$7*$B$5*C19</f>
      </c>
      <c r="F19" s="12">
        <f>IF(AND($B$10=1,A19&gt;=2),$B$5*$B$12*$B$11,0)</f>
      </c>
      <c r="G19" s="12">
        <f>IF(A19=1,$B$8*$B$15*$B$5,0)</f>
      </c>
      <c r="H19" s="12">
        <f>D19+F19-E19-G19</f>
      </c>
      <c r="I19" s="12">
        <f>I18+H19</f>
      </c>
      <c r="K19">
        <f>IF(I19&gt;=0,A19,9999)</f>
      </c>
    </row>
    <row r="20" spans="1:11" x14ac:dyDescent="0.25">
      <c r="A20" s="10">
        <v>3</v>
      </c>
      <c r="B20" s="11">
        <v>0.2</v>
      </c>
      <c r="C20" s="11">
        <v>0</v>
      </c>
      <c r="D20" s="12">
        <f>$B$6*$B$5*B20*$B$14</f>
      </c>
      <c r="E20" s="12">
        <f>$B$7*$B$5*C20</f>
      </c>
      <c r="F20" s="12">
        <f>IF(AND($B$10=1,A20&gt;=2),$B$5*$B$12*$B$11,0)</f>
      </c>
      <c r="G20" s="12">
        <f>IF(A20=1,$B$8*$B$15*$B$5,0)</f>
      </c>
      <c r="H20" s="12">
        <f>D20+F20-E20-G20</f>
      </c>
      <c r="I20" s="12">
        <f>I19+H20</f>
      </c>
      <c r="K20">
        <f>IF(I20&gt;=0,A20,9999)</f>
      </c>
    </row>
    <row r="21" spans="1:11" x14ac:dyDescent="0.25">
      <c r="A21" s="10">
        <v>4</v>
      </c>
      <c r="B21" s="11">
        <v>0.26</v>
      </c>
      <c r="C21" s="11">
        <v>0</v>
      </c>
      <c r="D21" s="12">
        <f>$B$6*$B$5*B21*$B$14</f>
      </c>
      <c r="E21" s="12">
        <f>$B$7*$B$5*C21</f>
      </c>
      <c r="F21" s="12">
        <f>IF(AND($B$10=1,A21&gt;=2),$B$5*$B$12*$B$11,0)</f>
      </c>
      <c r="G21" s="12">
        <f>IF(A21=1,$B$8*$B$15*$B$5,0)</f>
      </c>
      <c r="H21" s="12">
        <f>D21+F21-E21-G21</f>
      </c>
      <c r="I21" s="12">
        <f>I20+H21</f>
      </c>
      <c r="K21">
        <f>IF(I21&gt;=0,A21,9999)</f>
      </c>
    </row>
    <row r="22" spans="1:11" x14ac:dyDescent="0.25">
      <c r="A22" s="10">
        <v>5</v>
      </c>
      <c r="B22" s="11">
        <v>0.3</v>
      </c>
      <c r="C22" s="11">
        <v>0</v>
      </c>
      <c r="D22" s="12">
        <f>$B$6*$B$5*B22*$B$14</f>
      </c>
      <c r="E22" s="12">
        <f>$B$7*$B$5*C22</f>
      </c>
      <c r="F22" s="12">
        <f>IF(AND($B$10=1,A22&gt;=2),$B$5*$B$12*$B$11,0)</f>
      </c>
      <c r="G22" s="12">
        <f>IF(A22=1,$B$8*$B$15*$B$5,0)</f>
      </c>
      <c r="H22" s="12">
        <f>D22+F22-E22-G22</f>
      </c>
      <c r="I22" s="12">
        <f>I21+H22</f>
      </c>
      <c r="K22">
        <f>IF(I22&gt;=0,A22,9999)</f>
      </c>
    </row>
    <row r="23" spans="1:11" x14ac:dyDescent="0.25">
      <c r="A23" s="10">
        <v>6</v>
      </c>
      <c r="B23" s="11">
        <v>0.3</v>
      </c>
      <c r="C23" s="11">
        <v>0</v>
      </c>
      <c r="D23" s="12">
        <f>$B$6*$B$5*B23*$B$14</f>
      </c>
      <c r="E23" s="12">
        <f>$B$7*$B$5*C23</f>
      </c>
      <c r="F23" s="12">
        <f>IF(AND($B$10=1,A23&gt;=2),$B$5*$B$12*$B$11,0)</f>
      </c>
      <c r="G23" s="12">
        <f>IF(A23=1,$B$8*$B$15*$B$5,0)</f>
      </c>
      <c r="H23" s="12">
        <f>D23+F23-E23-G23</f>
      </c>
      <c r="I23" s="12">
        <f>I22+H23</f>
      </c>
      <c r="K23">
        <f>IF(I23&gt;=0,A23,9999)</f>
      </c>
    </row>
    <row r="24" spans="1:11" x14ac:dyDescent="0.25">
      <c r="A24" s="10">
        <v>7</v>
      </c>
      <c r="B24" s="11">
        <v>0.3</v>
      </c>
      <c r="C24" s="11">
        <v>0</v>
      </c>
      <c r="D24" s="12">
        <f>$B$6*$B$5*B24*$B$14</f>
      </c>
      <c r="E24" s="12">
        <f>$B$7*$B$5*C24</f>
      </c>
      <c r="F24" s="12">
        <f>IF(AND($B$10=1,A24&gt;=2),$B$5*$B$12*$B$11,0)</f>
      </c>
      <c r="G24" s="12">
        <f>IF(A24=1,$B$8*$B$15*$B$5,0)</f>
      </c>
      <c r="H24" s="12">
        <f>D24+F24-E24-G24</f>
      </c>
      <c r="I24" s="12">
        <f>I23+H24</f>
      </c>
      <c r="K24">
        <f>IF(I24&gt;=0,A24,9999)</f>
      </c>
    </row>
    <row r="25" spans="1:11" x14ac:dyDescent="0.25">
      <c r="A25" s="10">
        <v>8</v>
      </c>
      <c r="B25" s="11">
        <v>0.3</v>
      </c>
      <c r="C25" s="11">
        <v>0</v>
      </c>
      <c r="D25" s="12">
        <f>$B$6*$B$5*B25*$B$14</f>
      </c>
      <c r="E25" s="12">
        <f>$B$7*$B$5*C25</f>
      </c>
      <c r="F25" s="12">
        <f>IF(AND($B$10=1,A25&gt;=2),$B$5*$B$12*$B$11,0)</f>
      </c>
      <c r="G25" s="12">
        <f>IF(A25=1,$B$8*$B$15*$B$5,0)</f>
      </c>
      <c r="H25" s="12">
        <f>D25+F25-E25-G25</f>
      </c>
      <c r="I25" s="12">
        <f>I24+H25</f>
      </c>
      <c r="K25">
        <f>IF(I25&gt;=0,A25,9999)</f>
      </c>
    </row>
    <row r="26" spans="1:11" x14ac:dyDescent="0.25">
      <c r="A26" s="10">
        <v>9</v>
      </c>
      <c r="B26" s="11">
        <v>0.3</v>
      </c>
      <c r="C26" s="11">
        <v>0</v>
      </c>
      <c r="D26" s="12">
        <f>$B$6*$B$5*B26*$B$14</f>
      </c>
      <c r="E26" s="12">
        <f>$B$7*$B$5*C26</f>
      </c>
      <c r="F26" s="12">
        <f>IF(AND($B$10=1,A26&gt;=2),$B$5*$B$12*$B$11,0)</f>
      </c>
      <c r="G26" s="12">
        <f>IF(A26=1,$B$8*$B$15*$B$5,0)</f>
      </c>
      <c r="H26" s="12">
        <f>D26+F26-E26-G26</f>
      </c>
      <c r="I26" s="12">
        <f>I25+H26</f>
      </c>
      <c r="K26">
        <f>IF(I26&gt;=0,A26,9999)</f>
      </c>
    </row>
    <row r="27" spans="1:11" x14ac:dyDescent="0.25">
      <c r="A27" s="10">
        <v>10</v>
      </c>
      <c r="B27" s="11">
        <v>0.3</v>
      </c>
      <c r="C27" s="11">
        <v>0</v>
      </c>
      <c r="D27" s="12">
        <f>$B$6*$B$5*B27*$B$14</f>
      </c>
      <c r="E27" s="12">
        <f>$B$7*$B$5*C27</f>
      </c>
      <c r="F27" s="12">
        <f>IF(AND($B$10=1,A27&gt;=2),$B$5*$B$12*$B$11,0)</f>
      </c>
      <c r="G27" s="12">
        <f>IF(A27=1,$B$8*$B$15*$B$5,0)</f>
      </c>
      <c r="H27" s="12">
        <f>D27+F27-E27-G27</f>
      </c>
      <c r="I27" s="12">
        <f>I26+H27</f>
      </c>
      <c r="K27">
        <f>IF(I27&gt;=0,A27,9999)</f>
      </c>
    </row>
    <row r="29" spans="1:2" x14ac:dyDescent="0.25">
      <c r="A29" s="13" t="s">
        <v>28</v>
      </c>
      <c r="B29" s="14">
        <f>IF(MIN(K18:K27)=9999,"Not within 10 years",MIN(K18:K27))</f>
      </c>
    </row>
    <row r="30" spans="1:2" x14ac:dyDescent="0.25">
      <c r="A30" s="15" t="s">
        <v>29</v>
      </c>
      <c r="B30" s="16">
        <f>I27</f>
      </c>
    </row>
    <row r="31" spans="1:2" x14ac:dyDescent="0.25">
      <c r="A31" s="17" t="s">
        <v>30</v>
      </c>
      <c r="B31" s="16">
        <f>I27/$B$5</f>
      </c>
    </row>
    <row r="33" ht="24" customHeight="1" spans="1:9" x14ac:dyDescent="0.25">
      <c r="A33" s="18" t="s">
        <v>31</v>
      </c>
      <c r="B33" s="18"/>
      <c r="C33" s="18"/>
      <c r="D33" s="18"/>
      <c r="E33" s="18"/>
      <c r="F33" s="18"/>
      <c r="G33" s="18"/>
      <c r="H33" s="18"/>
      <c r="I33" s="18"/>
    </row>
    <row r="34" ht="54" customHeight="1" spans="1:9" x14ac:dyDescent="0.25">
      <c r="A34" s="19" t="s">
        <v>32</v>
      </c>
      <c r="B34" s="19"/>
      <c r="C34" s="19"/>
      <c r="D34" s="19"/>
      <c r="E34" s="19"/>
      <c r="F34" s="19"/>
      <c r="G34" s="19"/>
      <c r="H34" s="19"/>
      <c r="I34" s="19"/>
    </row>
  </sheetData>
  <mergeCells count="4">
    <mergeCell ref="A1:I1"/>
    <mergeCell ref="A2:I2"/>
    <mergeCell ref="A33:I33"/>
    <mergeCell ref="A34:I34"/>
  </mergeCells>
  <hyperlinks>
    <hyperlink ref="A3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Transition 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Ecosystems United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2026-07-19T18:42:04Z</dcterms:modified>
</cp:coreProperties>
</file>