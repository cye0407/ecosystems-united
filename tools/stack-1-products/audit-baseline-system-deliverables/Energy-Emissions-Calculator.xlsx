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Electricity" sheetId="2" r:id="rId2"/>
    <sheet name="Diesel" sheetId="3" r:id="rId3"/>
    <sheet name="Gasoline" sheetId="4" r:id="rId4"/>
    <sheet name="Natural Gas" sheetId="5" r:id="rId5"/>
    <sheet name="Emissions Summary" sheetId="6" r:id="rId6"/>
    <sheet name="Intensity Metrics" sheetId="7" r:id="rId7"/>
    <sheet name="Data Quality" sheetId="8" r:id="rId8"/>
    <sheet name="Emission Factors" sheetId="9" r:id="rId9"/>
  </sheets>
  <calcPr calcId="124519" fullCalcOnLoad="1"/>
</workbook>
</file>

<file path=xl/sharedStrings.xml><?xml version="1.0" encoding="utf-8"?>
<sst xmlns="http://schemas.openxmlformats.org/spreadsheetml/2006/main" count="245" uniqueCount="168">
  <si>
    <t>ENERGY &amp; EMISSIONS CALCULATION WORKSHEET</t>
  </si>
  <si>
    <t>Audit-Defensible Baseline System - Agricultural Operations</t>
  </si>
  <si>
    <t>PURPOSE</t>
  </si>
  <si>
    <t>Calculate total energy consumption and Scope 1 + Scope 2 greenhouse gas emissions from your agricultural operation</t>
  </si>
  <si>
    <t>HOW TO USE THIS WORKBOOK</t>
  </si>
  <si>
    <t>1. COLOR CODING:</t>
  </si>
  <si>
    <t xml:space="preserve">   • YELLOW cells</t>
  </si>
  <si>
    <t>Data entry (fill these in)</t>
  </si>
  <si>
    <t xml:space="preserve">   • WHITE cells</t>
  </si>
  <si>
    <t>Calculated values (do not edit)</t>
  </si>
  <si>
    <t xml:space="preserve">   • BLUE headers</t>
  </si>
  <si>
    <t>Section labels</t>
  </si>
  <si>
    <t>2. WORKSHEET TABS:</t>
  </si>
  <si>
    <t xml:space="preserve">   • Instructions</t>
  </si>
  <si>
    <t>This sheet - read first</t>
  </si>
  <si>
    <t xml:space="preserve">   • Electricity</t>
  </si>
  <si>
    <t>Enter monthly electricity consumption</t>
  </si>
  <si>
    <t xml:space="preserve">   • Diesel</t>
  </si>
  <si>
    <t>Enter diesel fuel consumption</t>
  </si>
  <si>
    <t xml:space="preserve">   • Gasoline</t>
  </si>
  <si>
    <t>Enter gasoline fuel consumption</t>
  </si>
  <si>
    <t xml:space="preserve">   • Natural Gas</t>
  </si>
  <si>
    <t>Enter natural gas/propane consumption</t>
  </si>
  <si>
    <t xml:space="preserve">   • Emissions Summary</t>
  </si>
  <si>
    <t>Auto-calculated totals (Scope 1 + 2)</t>
  </si>
  <si>
    <t xml:space="preserve">   • Intensity Metrics</t>
  </si>
  <si>
    <t>Emissions per hectare, per kg output</t>
  </si>
  <si>
    <t xml:space="preserve">   • Data Quality</t>
  </si>
  <si>
    <t>Assess measurement confidence</t>
  </si>
  <si>
    <t xml:space="preserve">   • Emission Factors</t>
  </si>
  <si>
    <t>Reference data</t>
  </si>
  <si>
    <t>PART A: ELECTRICITY CONSUMPTION (Scope 2 Emissions)</t>
  </si>
  <si>
    <t>Baseline Period:</t>
  </si>
  <si>
    <t>Start Date:</t>
  </si>
  <si>
    <t>01/01/2024</t>
  </si>
  <si>
    <t>End Date:</t>
  </si>
  <si>
    <t>31/12/2024</t>
  </si>
  <si>
    <t>MONTHLY ELECTRICITY CONSUMPTION DATA</t>
  </si>
  <si>
    <t>Month</t>
  </si>
  <si>
    <t>Meter ID</t>
  </si>
  <si>
    <t>kWh Consumed</t>
  </si>
  <si>
    <t>Cost (€)</t>
  </si>
  <si>
    <t>Supplier</t>
  </si>
  <si>
    <t>Notes</t>
  </si>
  <si>
    <t>Data Source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</si>
  <si>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</si>
  <si>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</si>
  <si>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</si>
  <si>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</si>
  <si>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</si>
  <si>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</si>
  <si>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</si>
  <si>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</si>
  <si>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</si>
  <si>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</si>
  <si>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</si>
  <si>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</si>
  <si>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</si>
  <si>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>GRID EMISSION FACTOR SELECTION</t>
  </si>
  <si>
    <t>Select your grid region:</t>
  </si>
  <si>
    <t>Germany</t>
  </si>
  <si>
    <t>Grid Emission Factor:</t>
  </si>
  <si>
    <t>kg CO2e per kWh</t>
  </si>
  <si>
    <t>SCOPE 2 EMISSIONS CALCULATION</t>
  </si>
  <si>
    <t>Annual Electricity (kWh)</t>
  </si>
  <si>
    <t>Grid Factor</t>
  </si>
  <si>
    <t>Scope 2 (kg CO2e)</t>
  </si>
  <si>
    <t>Scope 2 (tonnes CO2e)</t>
  </si>
  <si>
    <t>PART B: DIESEL FUEL CONSUMPTION (Scope 1 Emissions)</t>
  </si>
  <si>
    <t>OPTION 1: Total Purchases (Simpler)</t>
  </si>
  <si>
    <t>Liters Purchased</t>
  </si>
  <si>
    <t>Invoice #</t>
  </si>
  <si>
    <t>DIESEL EMISSIONS CALCULATION</t>
  </si>
  <si>
    <t>Total Diesel (Liters)</t>
  </si>
  <si>
    <t>Unit</t>
  </si>
  <si>
    <t>Emission Factor</t>
  </si>
  <si>
    <t>Scope 1 (kg CO2e)</t>
  </si>
  <si>
    <t>Scope 1 (tonnes CO2e)</t>
  </si>
  <si>
    <t>Liters</t>
  </si>
  <si>
    <t>GASOLINE FUEL CONSUMPTION (Scope 1 Emissions)</t>
  </si>
  <si>
    <t>MONTHLY GASOLINE CONSUMPTION DATA</t>
  </si>
  <si>
    <t>Equipment Used</t>
  </si>
  <si>
    <t>GASOLINE EMISSIONS CALCULATION</t>
  </si>
  <si>
    <t>Total Gasoline (Liters)</t>
  </si>
  <si>
    <t>NATURAL GAS / PROPANE CONSUMPTION (Scope 1)</t>
  </si>
  <si>
    <t>Fuel Type:</t>
  </si>
  <si>
    <t>Natural Gas</t>
  </si>
  <si>
    <t>MONTHLY CONSUMPTION DATA</t>
  </si>
  <si>
    <t>Volume Consumed</t>
  </si>
  <si>
    <t>NATURAL GAS EMISSIONS CALCULATION</t>
  </si>
  <si>
    <t>Total Natural Gas</t>
  </si>
  <si>
    <t>m³</t>
  </si>
  <si>
    <t>PROPANE (LPG) EMISSIONS CALCULATION</t>
  </si>
  <si>
    <t>kg</t>
  </si>
  <si>
    <t>TOTAL GHG EMISSIONS SUMMARY (Scope 1 + Scope 2)</t>
  </si>
  <si>
    <t>Baseline Year: 2024</t>
  </si>
  <si>
    <t>GREENHOUSE GAS EMISSIONS (Scope 1 + Scope 2)</t>
  </si>
  <si>
    <t>Emission Source</t>
  </si>
  <si>
    <t>Scope</t>
  </si>
  <si>
    <t>Emissions (kg CO2e)</t>
  </si>
  <si>
    <t>Emissions (tonnes CO2e)</t>
  </si>
  <si>
    <t>% of Total</t>
  </si>
  <si>
    <t>Electricity (grid)</t>
  </si>
  <si>
    <t>Scope 2</t>
  </si>
  <si>
    <t>Diesel</t>
  </si>
  <si>
    <t>Scope 1</t>
  </si>
  <si>
    <t>Gasoline</t>
  </si>
  <si>
    <t>Propane</t>
  </si>
  <si>
    <t>TOTAL EMISSIONS</t>
  </si>
  <si>
    <t>100%</t>
  </si>
  <si>
    <t>EMISSIONS BY SCOPE</t>
  </si>
  <si>
    <t>Scope 1 Total (Direct Emissions):</t>
  </si>
  <si>
    <t>tonnes CO2e</t>
  </si>
  <si>
    <t>Scope 2 Total (Electricity Emissions):</t>
  </si>
  <si>
    <t>COMBINED TOTAL:</t>
  </si>
  <si>
    <t>ENERGY &amp; EMISSIONS INTENSITY METRICS</t>
  </si>
  <si>
    <t>PRODUCTION DATA (For Intensity Calculations)</t>
  </si>
  <si>
    <t>Select primary production measure:</t>
  </si>
  <si>
    <t>Hectares farmed</t>
  </si>
  <si>
    <t>Total area farmed:</t>
  </si>
  <si>
    <t>hectares</t>
  </si>
  <si>
    <t>Total output:</t>
  </si>
  <si>
    <t>kg/tonnes</t>
  </si>
  <si>
    <t>Total revenue:</t>
  </si>
  <si>
    <t>€</t>
  </si>
  <si>
    <t>INTENSITY CALCULATIONS</t>
  </si>
  <si>
    <t>Intensity Metric</t>
  </si>
  <si>
    <t>Your Performance</t>
  </si>
  <si>
    <t>Benchmark Range</t>
  </si>
  <si>
    <t>Energy per hectare</t>
  </si>
  <si>
    <t>GJ/ha</t>
  </si>
  <si>
    <t>Crop: 5-25
Livestock: 15-60</t>
  </si>
  <si>
    <t>Emissions per hectare</t>
  </si>
  <si>
    <t>kg CO2e/ha</t>
  </si>
  <si>
    <t>Crop: 500-3,000
Livestock: 2,000-10,000</t>
  </si>
  <si>
    <t>Emissions per kg output</t>
  </si>
  <si>
    <t>kg CO2e/kg</t>
  </si>
  <si>
    <t>Grains: 0.1-0.5
Veg: 0.2-1.0</t>
  </si>
  <si>
    <t>Emissions per € revenue</t>
  </si>
  <si>
    <t>kg CO2e/€</t>
  </si>
  <si>
    <t>Varies by product</t>
  </si>
  <si>
    <t>DATA QUALITY &amp; UNCERTAINTY ASSESSMENT</t>
  </si>
  <si>
    <t>ASSESS YOUR DATA QUALITY</t>
  </si>
  <si>
    <t>Data Element</t>
  </si>
  <si>
    <t>Quality Score (1-5)</t>
  </si>
  <si>
    <t>Notes / Improvement Plan</t>
  </si>
  <si>
    <t>Electricity consumption</t>
  </si>
  <si>
    <t>Diesel consumption</t>
  </si>
  <si>
    <t>Gasoline consumption</t>
  </si>
  <si>
    <t>Natural gas/propane</t>
  </si>
  <si>
    <t>Production output (hectares)</t>
  </si>
  <si>
    <t>Production output (kg/tonnes)</t>
  </si>
  <si>
    <t>AVERAGE SCORE</t>
  </si>
  <si>
    <t>EMISSION FACTOR REFERENCE TABLE</t>
  </si>
  <si>
    <t>ELECTRICITY GRID EMISSION FACTORS (kg CO2e per kWh)</t>
  </si>
  <si>
    <t>Source: IEA 2023 data</t>
  </si>
  <si>
    <t>Region/Country</t>
  </si>
  <si>
    <t>Emission Factor (kg CO2e/kWh)</t>
  </si>
  <si>
    <t>France</t>
  </si>
  <si>
    <t>Italy</t>
  </si>
  <si>
    <t>Spain</t>
  </si>
  <si>
    <t>Netherlands</t>
  </si>
  <si>
    <t>UK</t>
  </si>
  <si>
    <t>Poland</t>
  </si>
  <si>
    <t>EU Average</t>
  </si>
  <si>
    <t>USA Average</t>
  </si>
  <si>
    <t>Canada Average</t>
  </si>
  <si>
    <t>Australia</t>
  </si>
</sst>
</file>

<file path=xl/styles.xml><?xml version="1.0" encoding="utf-8"?>
<styleSheet xmlns="http://schemas.openxmlformats.org/spreadsheetml/2006/main">
  <numFmts count="1">
    <numFmt numFmtId="164" formatCode="#,##0.00"/>
  </numFmts>
  <fonts count="6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D9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0" fontId="4" fillId="0" borderId="0" xfId="0" applyFont="1"/>
    <xf numFmtId="0" fontId="0" fillId="3" borderId="1" xfId="0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64" fontId="0" fillId="3" borderId="1" xfId="0" applyNumberFormat="1" applyFill="1" applyBorder="1" applyAlignment="1">
      <alignment horizontal="right" vertical="center"/>
    </xf>
    <xf numFmtId="164" fontId="4" fillId="5" borderId="1" xfId="0" applyNumberFormat="1" applyFont="1" applyFill="1" applyBorder="1" applyAlignment="1">
      <alignment horizontal="right" vertical="center"/>
    </xf>
    <xf numFmtId="164" fontId="0" fillId="5" borderId="1" xfId="0" applyNumberFormat="1" applyFill="1" applyBorder="1" applyAlignment="1">
      <alignment horizontal="right" vertical="center"/>
    </xf>
    <xf numFmtId="164" fontId="3" fillId="6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cols>
    <col min="1" max="1" width="25.7109375" customWidth="1"/>
    <col min="2" max="2" width="3.7109375" customWidth="1"/>
    <col min="3" max="3" width="60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4" spans="1:6">
      <c r="A4" s="3" t="s">
        <v>2</v>
      </c>
      <c r="B4" s="3"/>
      <c r="C4" s="3"/>
      <c r="D4" s="3"/>
      <c r="E4" s="3"/>
      <c r="F4" s="3"/>
    </row>
    <row r="5" spans="1:6" ht="45" customHeight="1">
      <c r="A5" s="4" t="s">
        <v>3</v>
      </c>
      <c r="B5" s="4"/>
      <c r="C5" s="4"/>
      <c r="D5" s="4"/>
      <c r="E5" s="4"/>
      <c r="F5" s="4"/>
    </row>
    <row r="6" spans="1:6">
      <c r="A6" s="4"/>
      <c r="B6" s="4"/>
      <c r="C6" s="4"/>
      <c r="D6" s="4"/>
      <c r="E6" s="4"/>
      <c r="F6" s="4"/>
    </row>
    <row r="7" spans="1:6">
      <c r="A7" s="4"/>
      <c r="B7" s="4"/>
      <c r="C7" s="4"/>
      <c r="D7" s="4"/>
      <c r="E7" s="4"/>
      <c r="F7" s="4"/>
    </row>
    <row r="9" spans="1:6">
      <c r="A9" s="3" t="s">
        <v>4</v>
      </c>
      <c r="B9" s="3"/>
      <c r="C9" s="3"/>
      <c r="D9" s="3"/>
      <c r="E9" s="3"/>
      <c r="F9" s="3"/>
    </row>
    <row r="11" spans="1:6">
      <c r="A11" s="5" t="s">
        <v>5</v>
      </c>
    </row>
    <row r="12" spans="1:6">
      <c r="A12" t="s">
        <v>6</v>
      </c>
      <c r="C12" t="s">
        <v>7</v>
      </c>
    </row>
    <row r="13" spans="1:6">
      <c r="A13" t="s">
        <v>8</v>
      </c>
      <c r="C13" t="s">
        <v>9</v>
      </c>
    </row>
    <row r="14" spans="1:6">
      <c r="A14" t="s">
        <v>10</v>
      </c>
      <c r="C14" t="s">
        <v>11</v>
      </c>
    </row>
    <row r="16" spans="1:6">
      <c r="A16" s="5" t="s">
        <v>12</v>
      </c>
    </row>
    <row r="17" spans="1:3">
      <c r="A17" t="s">
        <v>13</v>
      </c>
      <c r="C17" t="s">
        <v>14</v>
      </c>
    </row>
    <row r="18" spans="1:3">
      <c r="A18" t="s">
        <v>15</v>
      </c>
      <c r="C18" t="s">
        <v>16</v>
      </c>
    </row>
    <row r="19" spans="1:3">
      <c r="A19" t="s">
        <v>17</v>
      </c>
      <c r="C19" t="s">
        <v>18</v>
      </c>
    </row>
    <row r="20" spans="1:3">
      <c r="A20" t="s">
        <v>19</v>
      </c>
      <c r="C20" t="s">
        <v>20</v>
      </c>
    </row>
    <row r="21" spans="1:3">
      <c r="A21" t="s">
        <v>21</v>
      </c>
      <c r="C21" t="s">
        <v>22</v>
      </c>
    </row>
    <row r="22" spans="1:3">
      <c r="A22" t="s">
        <v>23</v>
      </c>
      <c r="C22" t="s">
        <v>24</v>
      </c>
    </row>
    <row r="23" spans="1:3">
      <c r="A23" t="s">
        <v>25</v>
      </c>
      <c r="C23" t="s">
        <v>26</v>
      </c>
    </row>
    <row r="24" spans="1:3">
      <c r="A24" t="s">
        <v>27</v>
      </c>
      <c r="C24" t="s">
        <v>28</v>
      </c>
    </row>
    <row r="25" spans="1:3">
      <c r="A25" t="s">
        <v>29</v>
      </c>
      <c r="C25" t="s">
        <v>30</v>
      </c>
    </row>
  </sheetData>
  <mergeCells count="5">
    <mergeCell ref="A1:F1"/>
    <mergeCell ref="A2:F2"/>
    <mergeCell ref="A4:F4"/>
    <mergeCell ref="A5:F7"/>
    <mergeCell ref="A9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FormatPr defaultRowHeight="15"/>
  <cols>
    <col min="1" max="1" width="25.7109375" customWidth="1"/>
    <col min="2" max="7" width="18.7109375" customWidth="1"/>
  </cols>
  <sheetData>
    <row r="1" spans="1:7">
      <c r="A1" s="1" t="s">
        <v>31</v>
      </c>
      <c r="B1" s="1"/>
      <c r="C1" s="1"/>
      <c r="D1" s="1"/>
      <c r="E1" s="1"/>
      <c r="F1" s="1"/>
      <c r="G1" s="1"/>
    </row>
    <row r="3" spans="1:7">
      <c r="A3" s="5" t="s">
        <v>32</v>
      </c>
      <c r="B3" t="s">
        <v>33</v>
      </c>
      <c r="C3" s="6" t="s">
        <v>34</v>
      </c>
      <c r="D3" t="s">
        <v>35</v>
      </c>
      <c r="E3" s="6" t="s">
        <v>36</v>
      </c>
    </row>
    <row r="5" spans="1:7">
      <c r="A5" s="3" t="s">
        <v>37</v>
      </c>
      <c r="B5" s="3"/>
      <c r="C5" s="3"/>
      <c r="D5" s="3"/>
      <c r="E5" s="3"/>
      <c r="F5" s="3"/>
      <c r="G5" s="3"/>
    </row>
    <row r="6" spans="1:7">
      <c r="A6" s="7" t="s">
        <v>38</v>
      </c>
      <c r="B6" s="7" t="s">
        <v>39</v>
      </c>
      <c r="C6" s="7" t="s">
        <v>40</v>
      </c>
      <c r="D6" s="7" t="s">
        <v>41</v>
      </c>
      <c r="E6" s="7" t="s">
        <v>42</v>
      </c>
      <c r="F6" s="7" t="s">
        <v>43</v>
      </c>
      <c r="G6" s="7" t="s">
        <v>44</v>
      </c>
    </row>
    <row r="7" spans="1:7">
      <c r="A7" s="8" t="s">
        <v>45</v>
      </c>
      <c r="B7" s="6"/>
      <c r="C7" s="9"/>
      <c r="D7" s="9"/>
      <c r="E7" s="6"/>
      <c r="F7" s="6"/>
      <c r="G7" s="6"/>
    </row>
    <row r="8" spans="1:7">
      <c r="A8" s="8" t="s">
        <v>46</v>
      </c>
      <c r="B8" s="6"/>
      <c r="C8" s="9"/>
      <c r="D8" s="9"/>
      <c r="E8" s="6"/>
      <c r="F8" s="6"/>
      <c r="G8" s="6"/>
    </row>
    <row r="9" spans="1:7">
      <c r="A9" s="8" t="s">
        <v>47</v>
      </c>
      <c r="B9" s="6"/>
      <c r="C9" s="9"/>
      <c r="D9" s="9"/>
      <c r="E9" s="6"/>
      <c r="F9" s="6"/>
      <c r="G9" s="6"/>
    </row>
    <row r="10" spans="1:7">
      <c r="A10" s="8" t="s">
        <v>48</v>
      </c>
      <c r="B10" s="6"/>
      <c r="C10" s="9"/>
      <c r="D10" s="9"/>
      <c r="E10" s="6"/>
      <c r="F10" s="6"/>
      <c r="G10" s="6"/>
    </row>
    <row r="11" spans="1:7">
      <c r="A11" s="8" t="s">
        <v>49</v>
      </c>
      <c r="B11" s="6"/>
      <c r="C11" s="9"/>
      <c r="D11" s="9"/>
      <c r="E11" s="6"/>
      <c r="F11" s="6"/>
      <c r="G11" s="6"/>
    </row>
    <row r="12" spans="1:7">
      <c r="A12" s="8" t="s">
        <v>50</v>
      </c>
      <c r="B12" s="6"/>
      <c r="C12" s="9"/>
      <c r="D12" s="9"/>
      <c r="E12" s="6"/>
      <c r="F12" s="6"/>
      <c r="G12" s="6"/>
    </row>
    <row r="13" spans="1:7">
      <c r="A13" s="8" t="s">
        <v>51</v>
      </c>
      <c r="B13" s="6"/>
      <c r="C13" s="9"/>
      <c r="D13" s="9"/>
      <c r="E13" s="6"/>
      <c r="F13" s="6"/>
      <c r="G13" s="6"/>
    </row>
    <row r="14" spans="1:7">
      <c r="A14" s="8" t="s">
        <v>52</v>
      </c>
      <c r="B14" s="6"/>
      <c r="C14" s="9"/>
      <c r="D14" s="9"/>
      <c r="E14" s="6"/>
      <c r="F14" s="6"/>
      <c r="G14" s="6"/>
    </row>
    <row r="15" spans="1:7">
      <c r="A15" s="8" t="s">
        <v>53</v>
      </c>
      <c r="B15" s="6"/>
      <c r="C15" s="9"/>
      <c r="D15" s="9"/>
      <c r="E15" s="6"/>
      <c r="F15" s="6"/>
      <c r="G15" s="6"/>
    </row>
    <row r="16" spans="1:7">
      <c r="A16" s="8" t="s">
        <v>54</v>
      </c>
      <c r="B16" s="6"/>
      <c r="C16" s="9"/>
      <c r="D16" s="9"/>
      <c r="E16" s="6"/>
      <c r="F16" s="6"/>
      <c r="G16" s="6"/>
    </row>
    <row r="17" spans="1:7">
      <c r="A17" s="8" t="s">
        <v>55</v>
      </c>
      <c r="B17" s="6"/>
      <c r="C17" s="9"/>
      <c r="D17" s="9"/>
      <c r="E17" s="6"/>
      <c r="F17" s="6"/>
      <c r="G17" s="6"/>
    </row>
    <row r="18" spans="1:7">
      <c r="A18" s="8" t="s">
        <v>56</v>
      </c>
      <c r="B18" s="6"/>
      <c r="C18" s="9"/>
      <c r="D18" s="9"/>
      <c r="E18" s="6"/>
      <c r="F18" s="6"/>
      <c r="G18" s="6"/>
    </row>
    <row r="19" spans="1:7">
      <c r="A19" s="5" t="s">
        <v>57</v>
      </c>
      <c r="C19" s="10">
        <f>SUM(C7:C18)</f>
        <v>0</v>
      </c>
      <c r="D19" s="10">
        <f>SUM(D7:D18)</f>
        <v>0</v>
      </c>
    </row>
    <row r="27" spans="1:7">
      <c r="A27" s="3" t="s">
        <v>58</v>
      </c>
      <c r="B27" s="3"/>
      <c r="C27" s="3"/>
      <c r="D27" s="3"/>
      <c r="E27" s="3"/>
      <c r="F27" s="3"/>
      <c r="G27" s="3"/>
    </row>
    <row r="28" spans="1:7">
      <c r="A28" s="5" t="s">
        <v>59</v>
      </c>
      <c r="B28" s="6" t="s">
        <v>60</v>
      </c>
    </row>
    <row r="29" spans="1:7">
      <c r="A29" s="5" t="s">
        <v>61</v>
      </c>
      <c r="B29" s="11">
        <f>VLOOKUP(B28,'Emission Factors'!A:B,2,FALSE)</f>
        <v>0</v>
      </c>
      <c r="C29" t="s">
        <v>62</v>
      </c>
    </row>
    <row r="31" spans="1:7">
      <c r="A31" s="3" t="s">
        <v>63</v>
      </c>
      <c r="B31" s="3"/>
      <c r="C31" s="3"/>
      <c r="D31" s="3"/>
      <c r="E31" s="3"/>
      <c r="F31" s="3"/>
      <c r="G31" s="3"/>
    </row>
    <row r="32" spans="1:7">
      <c r="A32" s="7" t="s">
        <v>64</v>
      </c>
      <c r="B32" s="7" t="s">
        <v>65</v>
      </c>
      <c r="C32" s="7" t="s">
        <v>66</v>
      </c>
      <c r="D32" s="7" t="s">
        <v>67</v>
      </c>
    </row>
    <row r="33" spans="1:4">
      <c r="A33" s="10">
        <f>C18</f>
        <v>0</v>
      </c>
      <c r="B33" s="10">
        <f>B29</f>
        <v>0</v>
      </c>
      <c r="C33" s="10">
        <f>A33*B33</f>
        <v>0</v>
      </c>
      <c r="D33" s="10">
        <f>C33/1000</f>
        <v>0</v>
      </c>
    </row>
  </sheetData>
  <mergeCells count="4">
    <mergeCell ref="A1:G1"/>
    <mergeCell ref="A5:G5"/>
    <mergeCell ref="A27:G27"/>
    <mergeCell ref="A31:G31"/>
  </mergeCells>
  <dataValidations count="1">
    <dataValidation type="list" allowBlank="1" showInputMessage="1" showErrorMessage="1" sqref="B28">
      <formula1>"Germany,France,Italy,Spain,Netherlands,UK,Poland,EU Average,USA Average,Canada Average,Australia"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cols>
    <col min="1" max="1" width="25.7109375" customWidth="1"/>
    <col min="2" max="7" width="18.7109375" customWidth="1"/>
  </cols>
  <sheetData>
    <row r="1" spans="1:7">
      <c r="A1" s="1" t="s">
        <v>68</v>
      </c>
      <c r="B1" s="1"/>
      <c r="C1" s="1"/>
      <c r="D1" s="1"/>
      <c r="E1" s="1"/>
      <c r="F1" s="1"/>
      <c r="G1" s="1"/>
    </row>
    <row r="3" spans="1:7">
      <c r="A3" s="3" t="s">
        <v>69</v>
      </c>
      <c r="B3" s="3"/>
      <c r="C3" s="3"/>
      <c r="D3" s="3"/>
      <c r="E3" s="3"/>
      <c r="F3" s="3"/>
      <c r="G3" s="3"/>
    </row>
    <row r="4" spans="1:7">
      <c r="A4" s="7" t="s">
        <v>38</v>
      </c>
      <c r="B4" s="7" t="s">
        <v>70</v>
      </c>
      <c r="C4" s="7" t="s">
        <v>41</v>
      </c>
      <c r="D4" s="7" t="s">
        <v>42</v>
      </c>
      <c r="E4" s="7" t="s">
        <v>71</v>
      </c>
      <c r="F4" s="7" t="s">
        <v>43</v>
      </c>
      <c r="G4" s="7" t="s">
        <v>44</v>
      </c>
    </row>
    <row r="5" spans="1:7">
      <c r="A5" s="8" t="s">
        <v>45</v>
      </c>
      <c r="B5" s="9"/>
      <c r="C5" s="9"/>
      <c r="D5" s="6"/>
      <c r="E5" s="6"/>
      <c r="F5" s="6"/>
      <c r="G5" s="6"/>
    </row>
    <row r="6" spans="1:7">
      <c r="A6" s="8" t="s">
        <v>46</v>
      </c>
      <c r="B6" s="9"/>
      <c r="C6" s="9"/>
      <c r="D6" s="6"/>
      <c r="E6" s="6"/>
      <c r="F6" s="6"/>
      <c r="G6" s="6"/>
    </row>
    <row r="7" spans="1:7">
      <c r="A7" s="8" t="s">
        <v>47</v>
      </c>
      <c r="B7" s="9"/>
      <c r="C7" s="9"/>
      <c r="D7" s="6"/>
      <c r="E7" s="6"/>
      <c r="F7" s="6"/>
      <c r="G7" s="6"/>
    </row>
    <row r="8" spans="1:7">
      <c r="A8" s="8" t="s">
        <v>48</v>
      </c>
      <c r="B8" s="9"/>
      <c r="C8" s="9"/>
      <c r="D8" s="6"/>
      <c r="E8" s="6"/>
      <c r="F8" s="6"/>
      <c r="G8" s="6"/>
    </row>
    <row r="9" spans="1:7">
      <c r="A9" s="8" t="s">
        <v>49</v>
      </c>
      <c r="B9" s="9"/>
      <c r="C9" s="9"/>
      <c r="D9" s="6"/>
      <c r="E9" s="6"/>
      <c r="F9" s="6"/>
      <c r="G9" s="6"/>
    </row>
    <row r="10" spans="1:7">
      <c r="A10" s="8" t="s">
        <v>50</v>
      </c>
      <c r="B10" s="9"/>
      <c r="C10" s="9"/>
      <c r="D10" s="6"/>
      <c r="E10" s="6"/>
      <c r="F10" s="6"/>
      <c r="G10" s="6"/>
    </row>
    <row r="11" spans="1:7">
      <c r="A11" s="8" t="s">
        <v>51</v>
      </c>
      <c r="B11" s="9"/>
      <c r="C11" s="9"/>
      <c r="D11" s="6"/>
      <c r="E11" s="6"/>
      <c r="F11" s="6"/>
      <c r="G11" s="6"/>
    </row>
    <row r="12" spans="1:7">
      <c r="A12" s="8" t="s">
        <v>52</v>
      </c>
      <c r="B12" s="9"/>
      <c r="C12" s="9"/>
      <c r="D12" s="6"/>
      <c r="E12" s="6"/>
      <c r="F12" s="6"/>
      <c r="G12" s="6"/>
    </row>
    <row r="13" spans="1:7">
      <c r="A13" s="8" t="s">
        <v>53</v>
      </c>
      <c r="B13" s="9"/>
      <c r="C13" s="9"/>
      <c r="D13" s="6"/>
      <c r="E13" s="6"/>
      <c r="F13" s="6"/>
      <c r="G13" s="6"/>
    </row>
    <row r="14" spans="1:7">
      <c r="A14" s="8" t="s">
        <v>54</v>
      </c>
      <c r="B14" s="9"/>
      <c r="C14" s="9"/>
      <c r="D14" s="6"/>
      <c r="E14" s="6"/>
      <c r="F14" s="6"/>
      <c r="G14" s="6"/>
    </row>
    <row r="15" spans="1:7">
      <c r="A15" s="8" t="s">
        <v>55</v>
      </c>
      <c r="B15" s="9"/>
      <c r="C15" s="9"/>
      <c r="D15" s="6"/>
      <c r="E15" s="6"/>
      <c r="F15" s="6"/>
      <c r="G15" s="6"/>
    </row>
    <row r="16" spans="1:7">
      <c r="A16" s="8" t="s">
        <v>56</v>
      </c>
      <c r="B16" s="9"/>
      <c r="C16" s="9"/>
      <c r="D16" s="6"/>
      <c r="E16" s="6"/>
      <c r="F16" s="6"/>
      <c r="G16" s="6"/>
    </row>
    <row r="17" spans="1:6">
      <c r="A17" s="5" t="s">
        <v>57</v>
      </c>
      <c r="B17" s="10">
        <f>SUM(B5:B16)</f>
        <v>0</v>
      </c>
      <c r="C17" s="10">
        <f>SUM(C5:C16)</f>
        <v>0</v>
      </c>
    </row>
    <row r="32" spans="1:6">
      <c r="A32" s="3" t="s">
        <v>72</v>
      </c>
      <c r="B32" s="3"/>
      <c r="C32" s="3"/>
      <c r="D32" s="3"/>
      <c r="E32" s="3"/>
      <c r="F32" s="3"/>
    </row>
    <row r="35" spans="1:5">
      <c r="A35" s="7" t="s">
        <v>73</v>
      </c>
      <c r="B35" s="7" t="s">
        <v>74</v>
      </c>
      <c r="C35" s="7" t="s">
        <v>75</v>
      </c>
      <c r="D35" s="7" t="s">
        <v>76</v>
      </c>
      <c r="E35" s="7" t="s">
        <v>77</v>
      </c>
    </row>
    <row r="36" spans="1:5">
      <c r="A36" s="10">
        <f>B16</f>
        <v>0</v>
      </c>
      <c r="B36" s="8" t="s">
        <v>78</v>
      </c>
      <c r="C36" s="10">
        <v>2.68</v>
      </c>
      <c r="D36" s="10">
        <f>A36*C36</f>
        <v>0</v>
      </c>
      <c r="E36" s="10">
        <f>D36/1000</f>
        <v>0</v>
      </c>
    </row>
  </sheetData>
  <mergeCells count="3">
    <mergeCell ref="A1:G1"/>
    <mergeCell ref="A3:G3"/>
    <mergeCell ref="A32:F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cols>
    <col min="1" max="1" width="25.7109375" customWidth="1"/>
    <col min="2" max="6" width="20.7109375" customWidth="1"/>
  </cols>
  <sheetData>
    <row r="1" spans="1:6">
      <c r="A1" s="1" t="s">
        <v>79</v>
      </c>
      <c r="B1" s="1"/>
      <c r="C1" s="1"/>
      <c r="D1" s="1"/>
      <c r="E1" s="1"/>
      <c r="F1" s="1"/>
    </row>
    <row r="3" spans="1:6">
      <c r="A3" s="3" t="s">
        <v>80</v>
      </c>
      <c r="B3" s="3"/>
      <c r="C3" s="3"/>
      <c r="D3" s="3"/>
      <c r="E3" s="3"/>
      <c r="F3" s="3"/>
    </row>
    <row r="4" spans="1:6">
      <c r="A4" s="7" t="s">
        <v>38</v>
      </c>
      <c r="B4" s="7" t="s">
        <v>70</v>
      </c>
      <c r="C4" s="7" t="s">
        <v>81</v>
      </c>
      <c r="D4" s="7" t="s">
        <v>41</v>
      </c>
      <c r="E4" s="7" t="s">
        <v>43</v>
      </c>
      <c r="F4" s="7" t="s">
        <v>44</v>
      </c>
    </row>
    <row r="5" spans="1:6">
      <c r="A5" s="8" t="s">
        <v>45</v>
      </c>
      <c r="B5" s="9"/>
      <c r="C5" s="6"/>
      <c r="D5" s="9"/>
      <c r="E5" s="6"/>
      <c r="F5" s="6"/>
    </row>
    <row r="6" spans="1:6">
      <c r="A6" s="8" t="s">
        <v>46</v>
      </c>
      <c r="B6" s="9"/>
      <c r="C6" s="6"/>
      <c r="D6" s="9"/>
      <c r="E6" s="6"/>
      <c r="F6" s="6"/>
    </row>
    <row r="7" spans="1:6">
      <c r="A7" s="8" t="s">
        <v>47</v>
      </c>
      <c r="B7" s="9"/>
      <c r="C7" s="6"/>
      <c r="D7" s="9"/>
      <c r="E7" s="6"/>
      <c r="F7" s="6"/>
    </row>
    <row r="8" spans="1:6">
      <c r="A8" s="8" t="s">
        <v>48</v>
      </c>
      <c r="B8" s="9"/>
      <c r="C8" s="6"/>
      <c r="D8" s="9"/>
      <c r="E8" s="6"/>
      <c r="F8" s="6"/>
    </row>
    <row r="9" spans="1:6">
      <c r="A9" s="8" t="s">
        <v>49</v>
      </c>
      <c r="B9" s="9"/>
      <c r="C9" s="6"/>
      <c r="D9" s="9"/>
      <c r="E9" s="6"/>
      <c r="F9" s="6"/>
    </row>
    <row r="10" spans="1:6">
      <c r="A10" s="8" t="s">
        <v>50</v>
      </c>
      <c r="B10" s="9"/>
      <c r="C10" s="6"/>
      <c r="D10" s="9"/>
      <c r="E10" s="6"/>
      <c r="F10" s="6"/>
    </row>
    <row r="11" spans="1:6">
      <c r="A11" s="8" t="s">
        <v>51</v>
      </c>
      <c r="B11" s="9"/>
      <c r="C11" s="6"/>
      <c r="D11" s="9"/>
      <c r="E11" s="6"/>
      <c r="F11" s="6"/>
    </row>
    <row r="12" spans="1:6">
      <c r="A12" s="8" t="s">
        <v>52</v>
      </c>
      <c r="B12" s="9"/>
      <c r="C12" s="6"/>
      <c r="D12" s="9"/>
      <c r="E12" s="6"/>
      <c r="F12" s="6"/>
    </row>
    <row r="13" spans="1:6">
      <c r="A13" s="8" t="s">
        <v>53</v>
      </c>
      <c r="B13" s="9"/>
      <c r="C13" s="6"/>
      <c r="D13" s="9"/>
      <c r="E13" s="6"/>
      <c r="F13" s="6"/>
    </row>
    <row r="14" spans="1:6">
      <c r="A14" s="8" t="s">
        <v>54</v>
      </c>
      <c r="B14" s="9"/>
      <c r="C14" s="6"/>
      <c r="D14" s="9"/>
      <c r="E14" s="6"/>
      <c r="F14" s="6"/>
    </row>
    <row r="15" spans="1:6">
      <c r="A15" s="8" t="s">
        <v>55</v>
      </c>
      <c r="B15" s="9"/>
      <c r="C15" s="6"/>
      <c r="D15" s="9"/>
      <c r="E15" s="6"/>
      <c r="F15" s="6"/>
    </row>
    <row r="16" spans="1:6">
      <c r="A16" s="8" t="s">
        <v>56</v>
      </c>
      <c r="B16" s="9"/>
      <c r="C16" s="6"/>
      <c r="D16" s="9"/>
      <c r="E16" s="6"/>
      <c r="F16" s="6"/>
    </row>
    <row r="17" spans="1:5">
      <c r="A17" s="5" t="s">
        <v>57</v>
      </c>
      <c r="B17" s="10">
        <f>SUM(B5:B16)</f>
        <v>0</v>
      </c>
      <c r="D17" s="10">
        <f>SUM(D5:D16)</f>
        <v>0</v>
      </c>
    </row>
    <row r="20" spans="1:5">
      <c r="A20" s="3" t="s">
        <v>82</v>
      </c>
      <c r="B20" s="3"/>
      <c r="C20" s="3"/>
      <c r="D20" s="3"/>
      <c r="E20" s="3"/>
    </row>
    <row r="21" spans="1:5">
      <c r="A21" s="7" t="s">
        <v>83</v>
      </c>
      <c r="B21" s="7" t="s">
        <v>74</v>
      </c>
      <c r="C21" s="7" t="s">
        <v>75</v>
      </c>
      <c r="D21" s="7" t="s">
        <v>76</v>
      </c>
      <c r="E21" s="7" t="s">
        <v>77</v>
      </c>
    </row>
    <row r="22" spans="1:5">
      <c r="A22" s="10">
        <f>B16</f>
        <v>0</v>
      </c>
      <c r="B22" s="8" t="s">
        <v>78</v>
      </c>
      <c r="C22" s="10">
        <v>2.31</v>
      </c>
      <c r="D22" s="10">
        <f>A22*C22</f>
        <v>0</v>
      </c>
      <c r="E22" s="10">
        <f>D22/1000</f>
        <v>0</v>
      </c>
    </row>
  </sheetData>
  <mergeCells count="3">
    <mergeCell ref="A1:F1"/>
    <mergeCell ref="A3:F3"/>
    <mergeCell ref="A20:E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cols>
    <col min="1" max="1" width="25.7109375" customWidth="1"/>
    <col min="2" max="7" width="18.7109375" customWidth="1"/>
  </cols>
  <sheetData>
    <row r="1" spans="1:7">
      <c r="A1" s="1" t="s">
        <v>84</v>
      </c>
      <c r="B1" s="1"/>
      <c r="C1" s="1"/>
      <c r="D1" s="1"/>
      <c r="E1" s="1"/>
      <c r="F1" s="1"/>
      <c r="G1" s="1"/>
    </row>
    <row r="3" spans="1:7">
      <c r="A3" s="5" t="s">
        <v>85</v>
      </c>
      <c r="B3" s="6" t="s">
        <v>86</v>
      </c>
    </row>
    <row r="5" spans="1:7">
      <c r="A5" s="3" t="s">
        <v>87</v>
      </c>
      <c r="B5" s="3"/>
      <c r="C5" s="3"/>
      <c r="D5" s="3"/>
      <c r="E5" s="3"/>
      <c r="F5" s="3"/>
      <c r="G5" s="3"/>
    </row>
    <row r="6" spans="1:7">
      <c r="A6" s="7" t="s">
        <v>38</v>
      </c>
      <c r="B6" s="7" t="s">
        <v>88</v>
      </c>
      <c r="C6" s="7" t="s">
        <v>74</v>
      </c>
      <c r="D6" s="7" t="s">
        <v>41</v>
      </c>
      <c r="E6" s="7" t="s">
        <v>42</v>
      </c>
      <c r="F6" s="7" t="s">
        <v>43</v>
      </c>
      <c r="G6" s="7" t="s">
        <v>44</v>
      </c>
    </row>
    <row r="7" spans="1:7">
      <c r="A7" s="8" t="s">
        <v>45</v>
      </c>
      <c r="B7" s="9"/>
      <c r="C7" s="6"/>
      <c r="D7" s="9"/>
      <c r="E7" s="6"/>
      <c r="F7" s="6"/>
      <c r="G7" s="6"/>
    </row>
    <row r="8" spans="1:7">
      <c r="A8" s="8" t="s">
        <v>46</v>
      </c>
      <c r="B8" s="9"/>
      <c r="C8" s="6"/>
      <c r="D8" s="9"/>
      <c r="E8" s="6"/>
      <c r="F8" s="6"/>
      <c r="G8" s="6"/>
    </row>
    <row r="9" spans="1:7">
      <c r="A9" s="8" t="s">
        <v>47</v>
      </c>
      <c r="B9" s="9"/>
      <c r="C9" s="6"/>
      <c r="D9" s="9"/>
      <c r="E9" s="6"/>
      <c r="F9" s="6"/>
      <c r="G9" s="6"/>
    </row>
    <row r="10" spans="1:7">
      <c r="A10" s="8" t="s">
        <v>48</v>
      </c>
      <c r="B10" s="9"/>
      <c r="C10" s="6"/>
      <c r="D10" s="9"/>
      <c r="E10" s="6"/>
      <c r="F10" s="6"/>
      <c r="G10" s="6"/>
    </row>
    <row r="11" spans="1:7">
      <c r="A11" s="8" t="s">
        <v>49</v>
      </c>
      <c r="B11" s="9"/>
      <c r="C11" s="6"/>
      <c r="D11" s="9"/>
      <c r="E11" s="6"/>
      <c r="F11" s="6"/>
      <c r="G11" s="6"/>
    </row>
    <row r="12" spans="1:7">
      <c r="A12" s="8" t="s">
        <v>50</v>
      </c>
      <c r="B12" s="9"/>
      <c r="C12" s="6"/>
      <c r="D12" s="9"/>
      <c r="E12" s="6"/>
      <c r="F12" s="6"/>
      <c r="G12" s="6"/>
    </row>
    <row r="13" spans="1:7">
      <c r="A13" s="8" t="s">
        <v>51</v>
      </c>
      <c r="B13" s="9"/>
      <c r="C13" s="6"/>
      <c r="D13" s="9"/>
      <c r="E13" s="6"/>
      <c r="F13" s="6"/>
      <c r="G13" s="6"/>
    </row>
    <row r="14" spans="1:7">
      <c r="A14" s="8" t="s">
        <v>52</v>
      </c>
      <c r="B14" s="9"/>
      <c r="C14" s="6"/>
      <c r="D14" s="9"/>
      <c r="E14" s="6"/>
      <c r="F14" s="6"/>
      <c r="G14" s="6"/>
    </row>
    <row r="15" spans="1:7">
      <c r="A15" s="8" t="s">
        <v>53</v>
      </c>
      <c r="B15" s="9"/>
      <c r="C15" s="6"/>
      <c r="D15" s="9"/>
      <c r="E15" s="6"/>
      <c r="F15" s="6"/>
      <c r="G15" s="6"/>
    </row>
    <row r="16" spans="1:7">
      <c r="A16" s="8" t="s">
        <v>54</v>
      </c>
      <c r="B16" s="9"/>
      <c r="C16" s="6"/>
      <c r="D16" s="9"/>
      <c r="E16" s="6"/>
      <c r="F16" s="6"/>
      <c r="G16" s="6"/>
    </row>
    <row r="17" spans="1:7">
      <c r="A17" s="8" t="s">
        <v>55</v>
      </c>
      <c r="B17" s="9"/>
      <c r="C17" s="6"/>
      <c r="D17" s="9"/>
      <c r="E17" s="6"/>
      <c r="F17" s="6"/>
      <c r="G17" s="6"/>
    </row>
    <row r="18" spans="1:7">
      <c r="A18" s="8" t="s">
        <v>56</v>
      </c>
      <c r="B18" s="9"/>
      <c r="C18" s="6"/>
      <c r="D18" s="9"/>
      <c r="E18" s="6"/>
      <c r="F18" s="6"/>
      <c r="G18" s="6"/>
    </row>
    <row r="19" spans="1:7">
      <c r="A19" s="5" t="s">
        <v>57</v>
      </c>
      <c r="B19" s="10">
        <f>SUM(B7:B18)</f>
        <v>0</v>
      </c>
      <c r="D19" s="10">
        <f>SUM(D7:D18)</f>
        <v>0</v>
      </c>
    </row>
    <row r="22" spans="1:7">
      <c r="A22" s="3" t="s">
        <v>89</v>
      </c>
      <c r="B22" s="3"/>
      <c r="C22" s="3"/>
      <c r="D22" s="3"/>
      <c r="E22" s="3"/>
    </row>
    <row r="23" spans="1:7">
      <c r="A23" s="7" t="s">
        <v>90</v>
      </c>
      <c r="B23" s="7" t="s">
        <v>74</v>
      </c>
      <c r="C23" s="7" t="s">
        <v>75</v>
      </c>
      <c r="D23" s="7" t="s">
        <v>76</v>
      </c>
      <c r="E23" s="7" t="s">
        <v>77</v>
      </c>
    </row>
    <row r="24" spans="1:7">
      <c r="A24" s="10">
        <f>B18</f>
        <v>0</v>
      </c>
      <c r="B24" s="8" t="s">
        <v>91</v>
      </c>
      <c r="C24" s="10">
        <v>2.03</v>
      </c>
      <c r="D24" s="10">
        <f>IF(B3="Natural Gas",A24*C24,0)</f>
        <v>0</v>
      </c>
      <c r="E24" s="10">
        <f>D24/1000</f>
        <v>0</v>
      </c>
    </row>
    <row r="27" spans="1:7">
      <c r="A27" s="3" t="s">
        <v>92</v>
      </c>
      <c r="B27" s="3"/>
      <c r="C27" s="3"/>
      <c r="D27" s="3"/>
      <c r="E27" s="3"/>
    </row>
    <row r="28" spans="1:7">
      <c r="A28" s="7" t="s">
        <v>90</v>
      </c>
      <c r="B28" s="7" t="s">
        <v>74</v>
      </c>
      <c r="C28" s="7" t="s">
        <v>75</v>
      </c>
      <c r="D28" s="7" t="s">
        <v>76</v>
      </c>
      <c r="E28" s="7" t="s">
        <v>77</v>
      </c>
    </row>
    <row r="29" spans="1:7">
      <c r="A29" s="10">
        <f>B18</f>
        <v>0</v>
      </c>
      <c r="B29" s="8" t="s">
        <v>93</v>
      </c>
      <c r="C29" s="10">
        <v>2.98</v>
      </c>
      <c r="D29" s="10">
        <f>IF(B3="Propane (LPG)",A29*C29,0)</f>
        <v>0</v>
      </c>
      <c r="E29" s="10">
        <f>D29/1000</f>
        <v>0</v>
      </c>
    </row>
  </sheetData>
  <mergeCells count="4">
    <mergeCell ref="A1:G1"/>
    <mergeCell ref="A5:G5"/>
    <mergeCell ref="A22:E22"/>
    <mergeCell ref="A27:E27"/>
  </mergeCells>
  <dataValidations count="1">
    <dataValidation type="list" allowBlank="1" showInputMessage="1" showErrorMessage="1" sqref="B3">
      <formula1>"Natural Gas,Propane (LPG),Heating Oil,Other"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cols>
    <col min="1" max="1" width="30.7109375" customWidth="1"/>
    <col min="2" max="5" width="20.7109375" customWidth="1"/>
  </cols>
  <sheetData>
    <row r="1" spans="1:6">
      <c r="A1" s="1" t="s">
        <v>94</v>
      </c>
      <c r="B1" s="1"/>
      <c r="C1" s="1"/>
      <c r="D1" s="1"/>
      <c r="E1" s="1"/>
      <c r="F1" s="1"/>
    </row>
    <row r="2" spans="1:6">
      <c r="A2" s="2" t="s">
        <v>95</v>
      </c>
      <c r="B2" s="2"/>
      <c r="C2" s="2"/>
      <c r="D2" s="2"/>
      <c r="E2" s="2"/>
      <c r="F2" s="2"/>
    </row>
    <row r="13" spans="1:6">
      <c r="A13" s="3" t="s">
        <v>96</v>
      </c>
      <c r="B13" s="3"/>
      <c r="C13" s="3"/>
      <c r="D13" s="3"/>
      <c r="E13" s="3"/>
      <c r="F13" s="3"/>
    </row>
    <row r="14" spans="1:6">
      <c r="A14" s="7" t="s">
        <v>97</v>
      </c>
      <c r="B14" s="7" t="s">
        <v>98</v>
      </c>
      <c r="C14" s="7" t="s">
        <v>99</v>
      </c>
      <c r="D14" s="7" t="s">
        <v>100</v>
      </c>
      <c r="E14" s="7" t="s">
        <v>101</v>
      </c>
    </row>
    <row r="15" spans="1:6">
      <c r="A15" s="8" t="s">
        <v>102</v>
      </c>
      <c r="B15" s="8" t="s">
        <v>103</v>
      </c>
      <c r="C15" s="11">
        <f>Electricity!C33</f>
        <v>0</v>
      </c>
      <c r="D15" s="11">
        <f>C15/1000</f>
        <v>0</v>
      </c>
      <c r="E15" s="11">
        <f>D14/D$20*100</f>
        <v>0</v>
      </c>
    </row>
    <row r="16" spans="1:6">
      <c r="A16" s="8" t="s">
        <v>104</v>
      </c>
      <c r="B16" s="8" t="s">
        <v>105</v>
      </c>
      <c r="C16" s="11">
        <f>Diesel!D36</f>
        <v>0</v>
      </c>
      <c r="D16" s="11">
        <f>C16/1000</f>
        <v>0</v>
      </c>
      <c r="E16" s="11">
        <f>D15/D$20*100</f>
        <v>0</v>
      </c>
    </row>
    <row r="17" spans="1:5">
      <c r="A17" s="8" t="s">
        <v>106</v>
      </c>
      <c r="B17" s="8" t="s">
        <v>105</v>
      </c>
      <c r="C17" s="11">
        <f>Gasoline!D22</f>
        <v>0</v>
      </c>
      <c r="D17" s="11">
        <f>C17/1000</f>
        <v>0</v>
      </c>
      <c r="E17" s="11">
        <f>D16/D$20*100</f>
        <v>0</v>
      </c>
    </row>
    <row r="18" spans="1:5">
      <c r="A18" s="8" t="s">
        <v>86</v>
      </c>
      <c r="B18" s="8" t="s">
        <v>105</v>
      </c>
      <c r="C18" s="11">
        <f>'Natural Gas'!D24</f>
        <v>0</v>
      </c>
      <c r="D18" s="11">
        <f>C18/1000</f>
        <v>0</v>
      </c>
      <c r="E18" s="11">
        <f>D17/D$20*100</f>
        <v>0</v>
      </c>
    </row>
    <row r="19" spans="1:5">
      <c r="A19" s="8" t="s">
        <v>107</v>
      </c>
      <c r="B19" s="8" t="s">
        <v>105</v>
      </c>
      <c r="C19" s="11">
        <f>'Natural Gas'!D29</f>
        <v>0</v>
      </c>
      <c r="D19" s="11">
        <f>C19/1000</f>
        <v>0</v>
      </c>
      <c r="E19" s="11">
        <f>D18/D$20*100</f>
        <v>0</v>
      </c>
    </row>
    <row r="20" spans="1:5">
      <c r="A20" s="5" t="s">
        <v>108</v>
      </c>
      <c r="C20" s="10">
        <f>SUM(C15:C19)</f>
        <v>0</v>
      </c>
      <c r="D20" s="10">
        <f>C20/1000</f>
        <v>0</v>
      </c>
      <c r="E20" s="8" t="s">
        <v>109</v>
      </c>
    </row>
    <row r="23" spans="1:5">
      <c r="A23" s="3" t="s">
        <v>110</v>
      </c>
      <c r="B23" s="3"/>
      <c r="C23" s="3"/>
      <c r="D23" s="3"/>
    </row>
    <row r="24" spans="1:5">
      <c r="A24" s="5" t="s">
        <v>111</v>
      </c>
      <c r="C24" s="10">
        <f>SUM(D16:D19)</f>
        <v>0</v>
      </c>
      <c r="D24" t="s">
        <v>112</v>
      </c>
    </row>
    <row r="25" spans="1:5">
      <c r="A25" s="5" t="s">
        <v>113</v>
      </c>
      <c r="C25" s="10">
        <f>D15</f>
        <v>0</v>
      </c>
      <c r="D25" t="s">
        <v>112</v>
      </c>
    </row>
    <row r="27" spans="1:5">
      <c r="A27" s="5" t="s">
        <v>114</v>
      </c>
      <c r="C27" s="12">
        <f>D20</f>
        <v>0</v>
      </c>
      <c r="D27" t="s">
        <v>112</v>
      </c>
    </row>
  </sheetData>
  <mergeCells count="4">
    <mergeCell ref="A1:F1"/>
    <mergeCell ref="A2:F2"/>
    <mergeCell ref="A13:F13"/>
    <mergeCell ref="A23:D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25.7109375" customWidth="1"/>
    <col min="2" max="6" width="20.7109375" customWidth="1"/>
  </cols>
  <sheetData>
    <row r="1" spans="1:6">
      <c r="A1" s="1" t="s">
        <v>115</v>
      </c>
      <c r="B1" s="1"/>
      <c r="C1" s="1"/>
      <c r="D1" s="1"/>
      <c r="E1" s="1"/>
      <c r="F1" s="1"/>
    </row>
    <row r="6" spans="1:6">
      <c r="A6" s="3" t="s">
        <v>116</v>
      </c>
      <c r="B6" s="3"/>
      <c r="C6" s="3"/>
      <c r="D6" s="3"/>
      <c r="E6" s="3"/>
      <c r="F6" s="3"/>
    </row>
    <row r="8" spans="1:6">
      <c r="A8" s="5" t="s">
        <v>117</v>
      </c>
      <c r="B8" s="6" t="s">
        <v>118</v>
      </c>
    </row>
    <row r="10" spans="1:6">
      <c r="A10" s="5" t="s">
        <v>119</v>
      </c>
      <c r="B10" s="9"/>
      <c r="C10" t="s">
        <v>120</v>
      </c>
    </row>
    <row r="11" spans="1:6">
      <c r="A11" s="5" t="s">
        <v>121</v>
      </c>
      <c r="B11" s="9"/>
      <c r="C11" t="s">
        <v>122</v>
      </c>
    </row>
    <row r="12" spans="1:6">
      <c r="A12" s="5" t="s">
        <v>123</v>
      </c>
      <c r="B12" s="9"/>
      <c r="C12" t="s">
        <v>124</v>
      </c>
    </row>
    <row r="16" spans="1:6">
      <c r="A16" s="3" t="s">
        <v>125</v>
      </c>
      <c r="B16" s="3"/>
      <c r="C16" s="3"/>
      <c r="D16" s="3"/>
      <c r="E16" s="3"/>
      <c r="F16" s="3"/>
    </row>
    <row r="17" spans="1:4">
      <c r="A17" s="7" t="s">
        <v>126</v>
      </c>
      <c r="B17" s="7" t="s">
        <v>127</v>
      </c>
      <c r="C17" s="7" t="s">
        <v>74</v>
      </c>
      <c r="D17" s="7" t="s">
        <v>128</v>
      </c>
    </row>
    <row r="18" spans="1:4" ht="30" customHeight="1">
      <c r="A18" s="8" t="s">
        <v>129</v>
      </c>
      <c r="B18" s="11">
        <f>'Emissions Summary'!D20/B10</f>
        <v>0</v>
      </c>
      <c r="C18" s="8" t="s">
        <v>130</v>
      </c>
      <c r="D18" s="4" t="s">
        <v>131</v>
      </c>
    </row>
    <row r="19" spans="1:4" ht="30" customHeight="1">
      <c r="A19" s="8" t="s">
        <v>132</v>
      </c>
      <c r="B19" s="11">
        <f>'Emissions Summary'!C20/B10</f>
        <v>0</v>
      </c>
      <c r="C19" s="8" t="s">
        <v>133</v>
      </c>
      <c r="D19" s="4" t="s">
        <v>134</v>
      </c>
    </row>
    <row r="20" spans="1:4" ht="30" customHeight="1">
      <c r="A20" s="8" t="s">
        <v>135</v>
      </c>
      <c r="B20" s="11">
        <f>'Emissions Summary'!C20/B11</f>
        <v>0</v>
      </c>
      <c r="C20" s="8" t="s">
        <v>136</v>
      </c>
      <c r="D20" s="4" t="s">
        <v>137</v>
      </c>
    </row>
    <row r="21" spans="1:4" ht="30" customHeight="1">
      <c r="A21" s="8" t="s">
        <v>138</v>
      </c>
      <c r="B21" s="11">
        <f>'Emissions Summary'!C20/B12</f>
        <v>0</v>
      </c>
      <c r="C21" s="8" t="s">
        <v>139</v>
      </c>
      <c r="D21" s="4" t="s">
        <v>140</v>
      </c>
    </row>
  </sheetData>
  <mergeCells count="3">
    <mergeCell ref="A1:F1"/>
    <mergeCell ref="A6:F6"/>
    <mergeCell ref="A16:F16"/>
  </mergeCells>
  <dataValidations count="1">
    <dataValidation type="list" allowBlank="1" showInputMessage="1" showErrorMessage="1" sqref="B8">
      <formula1>"Hectares farmed,kg product harvested,€ revenue,livestock head-years,Other"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30.7109375" customWidth="1"/>
    <col min="2" max="2" width="20.7109375" customWidth="1"/>
    <col min="3" max="3" width="50.7109375" customWidth="1"/>
  </cols>
  <sheetData>
    <row r="1" spans="1:5">
      <c r="A1" s="1" t="s">
        <v>141</v>
      </c>
      <c r="B1" s="1"/>
      <c r="C1" s="1"/>
      <c r="D1" s="1"/>
      <c r="E1" s="1"/>
    </row>
    <row r="12" spans="1:5">
      <c r="A12" s="3" t="s">
        <v>142</v>
      </c>
      <c r="B12" s="3"/>
      <c r="C12" s="3"/>
      <c r="D12" s="3"/>
      <c r="E12" s="3"/>
    </row>
    <row r="13" spans="1:5">
      <c r="A13" s="7" t="s">
        <v>143</v>
      </c>
      <c r="B13" s="7" t="s">
        <v>144</v>
      </c>
      <c r="C13" s="7" t="s">
        <v>145</v>
      </c>
    </row>
    <row r="14" spans="1:5">
      <c r="A14" s="8" t="s">
        <v>146</v>
      </c>
      <c r="B14" s="9"/>
      <c r="C14" s="6"/>
    </row>
    <row r="15" spans="1:5">
      <c r="A15" s="8" t="s">
        <v>147</v>
      </c>
      <c r="B15" s="9"/>
      <c r="C15" s="6"/>
    </row>
    <row r="16" spans="1:5">
      <c r="A16" s="8" t="s">
        <v>148</v>
      </c>
      <c r="B16" s="9"/>
      <c r="C16" s="6"/>
    </row>
    <row r="17" spans="1:3">
      <c r="A17" s="8" t="s">
        <v>149</v>
      </c>
      <c r="B17" s="9"/>
      <c r="C17" s="6"/>
    </row>
    <row r="18" spans="1:3">
      <c r="A18" s="8" t="s">
        <v>150</v>
      </c>
      <c r="B18" s="9"/>
      <c r="C18" s="6"/>
    </row>
    <row r="19" spans="1:3">
      <c r="A19" s="8" t="s">
        <v>151</v>
      </c>
      <c r="B19" s="9"/>
      <c r="C19" s="6"/>
    </row>
    <row r="20" spans="1:3">
      <c r="A20" s="5" t="s">
        <v>152</v>
      </c>
      <c r="B20" s="10">
        <f>AVERAGE(B14:B19)</f>
        <v>0</v>
      </c>
    </row>
  </sheetData>
  <mergeCells count="2">
    <mergeCell ref="A1:E1"/>
    <mergeCell ref="A12:E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cols>
    <col min="1" max="2" width="25.7109375" customWidth="1"/>
  </cols>
  <sheetData>
    <row r="1" spans="1:4">
      <c r="A1" s="1" t="s">
        <v>153</v>
      </c>
      <c r="B1" s="1"/>
      <c r="C1" s="1"/>
      <c r="D1" s="1"/>
    </row>
    <row r="3" spans="1:4">
      <c r="A3" s="3" t="s">
        <v>154</v>
      </c>
      <c r="B3" s="3"/>
      <c r="C3" s="3"/>
      <c r="D3" s="3"/>
    </row>
    <row r="4" spans="1:4">
      <c r="A4" s="2" t="s">
        <v>155</v>
      </c>
      <c r="B4" s="2"/>
      <c r="C4" s="2"/>
      <c r="D4" s="2"/>
    </row>
    <row r="5" spans="1:4">
      <c r="A5" s="7" t="s">
        <v>156</v>
      </c>
      <c r="B5" s="7" t="s">
        <v>157</v>
      </c>
    </row>
    <row r="6" spans="1:4">
      <c r="A6" s="8" t="s">
        <v>60</v>
      </c>
      <c r="B6" s="11">
        <v>0.348</v>
      </c>
    </row>
    <row r="7" spans="1:4">
      <c r="A7" s="8" t="s">
        <v>158</v>
      </c>
      <c r="B7" s="11">
        <v>0.051</v>
      </c>
    </row>
    <row r="8" spans="1:4">
      <c r="A8" s="8" t="s">
        <v>159</v>
      </c>
      <c r="B8" s="11">
        <v>0.256</v>
      </c>
    </row>
    <row r="9" spans="1:4">
      <c r="A9" s="8" t="s">
        <v>160</v>
      </c>
      <c r="B9" s="11">
        <v>0.197</v>
      </c>
    </row>
    <row r="10" spans="1:4">
      <c r="A10" s="8" t="s">
        <v>161</v>
      </c>
      <c r="B10" s="11">
        <v>0.304</v>
      </c>
    </row>
    <row r="11" spans="1:4">
      <c r="A11" s="8" t="s">
        <v>162</v>
      </c>
      <c r="B11" s="11">
        <v>0.233</v>
      </c>
    </row>
    <row r="12" spans="1:4">
      <c r="A12" s="8" t="s">
        <v>163</v>
      </c>
      <c r="B12" s="11">
        <v>0.701</v>
      </c>
    </row>
    <row r="13" spans="1:4">
      <c r="A13" s="8" t="s">
        <v>164</v>
      </c>
      <c r="B13" s="11">
        <v>0.255</v>
      </c>
    </row>
    <row r="14" spans="1:4">
      <c r="A14" s="8" t="s">
        <v>165</v>
      </c>
      <c r="B14" s="11">
        <v>0.386</v>
      </c>
    </row>
    <row r="15" spans="1:4">
      <c r="A15" s="8" t="s">
        <v>166</v>
      </c>
      <c r="B15" s="11">
        <v>0.12</v>
      </c>
    </row>
    <row r="16" spans="1:4">
      <c r="A16" s="8" t="s">
        <v>167</v>
      </c>
      <c r="B16" s="11">
        <v>0.61</v>
      </c>
    </row>
  </sheetData>
  <mergeCells count="3">
    <mergeCell ref="A1:D1"/>
    <mergeCell ref="A3:D3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Electricity</vt:lpstr>
      <vt:lpstr>Diesel</vt:lpstr>
      <vt:lpstr>Gasoline</vt:lpstr>
      <vt:lpstr>Natural Gas</vt:lpstr>
      <vt:lpstr>Emissions Summary</vt:lpstr>
      <vt:lpstr>Intensity Metrics</vt:lpstr>
      <vt:lpstr>Data Quality</vt:lpstr>
      <vt:lpstr>Emission 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2026-01-22T10:37:38Z</dcterms:created>
  <dcterms:modified xsi:type="dcterms:W3CDTF">2026-01-22T10:37:38Z</dcterms:modified>
</cp:coreProperties>
</file>