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Y\ecosystems-united\tools\stack-1-products\lead-magnet-readiness-scorecard\"/>
    </mc:Choice>
  </mc:AlternateContent>
  <xr:revisionPtr revIDLastSave="0" documentId="13_ncr:1_{CB104517-2CB2-41D0-BEE6-D0C1DD7470FE}" xr6:coauthVersionLast="36" xr6:coauthVersionMax="36" xr10:uidLastSave="{00000000-0000-0000-0000-000000000000}"/>
  <bookViews>
    <workbookView xWindow="0" yWindow="0" windowWidth="23040" windowHeight="7500" xr2:uid="{00000000-000D-0000-FFFF-FFFF00000000}"/>
  </bookViews>
  <sheets>
    <sheet name="Instructions" sheetId="1" r:id="rId1"/>
    <sheet name="Scorecard" sheetId="2" r:id="rId2"/>
    <sheet name="Results" sheetId="3" r:id="rId3"/>
    <sheet name="Data_Validation" sheetId="4" state="hidden" r:id="rId4"/>
  </sheets>
  <calcPr calcId="191029"/>
</workbook>
</file>

<file path=xl/calcChain.xml><?xml version="1.0" encoding="utf-8"?>
<calcChain xmlns="http://schemas.openxmlformats.org/spreadsheetml/2006/main">
  <c r="D9" i="3" l="1"/>
  <c r="F9" i="3" s="1"/>
  <c r="D8" i="3"/>
  <c r="F8" i="3" s="1"/>
  <c r="D7" i="3"/>
  <c r="F7" i="3" s="1"/>
  <c r="D6" i="3"/>
  <c r="C14" i="3" l="1"/>
  <c r="C3" i="3" s="1"/>
  <c r="E7" i="3"/>
  <c r="E9" i="3"/>
  <c r="C12" i="3"/>
  <c r="C13" i="3" s="1"/>
  <c r="E6" i="3"/>
  <c r="E8" i="3"/>
  <c r="F6" i="3"/>
  <c r="C15" i="3" l="1"/>
</calcChain>
</file>

<file path=xl/sharedStrings.xml><?xml version="1.0" encoding="utf-8"?>
<sst xmlns="http://schemas.openxmlformats.org/spreadsheetml/2006/main" count="115" uniqueCount="96">
  <si>
    <t>Scope 3 Supplier Readiness Scorecard</t>
  </si>
  <si>
    <t>How to Use This Tool</t>
  </si>
  <si>
    <t>1. Make a copy. (File → Make a copy)</t>
  </si>
  <si>
    <t xml:space="preserve">2. Go to the Scorecard tab. </t>
  </si>
  <si>
    <t>3. Answer each question using the dropdown.</t>
  </si>
  <si>
    <t>4. Review your results and next steps in the 'Your Results' tab</t>
  </si>
  <si>
    <t>Next Step Logic:</t>
  </si>
  <si>
    <t>Your result maps to one of four stages: Emergency Responder (€49), Supplier System (€147), Competitive Edge (€297), or Partner Level.</t>
  </si>
  <si>
    <t>What You Will Learn</t>
  </si>
  <si>
    <t>✓ Whether you have the data needed to respond to customer sustainability requests</t>
  </si>
  <si>
    <t>✓ Which documents and policies you need to prepare</t>
  </si>
  <si>
    <t>✓ How ready you are to handle Scope 3 questionnaires from buyers</t>
  </si>
  <si>
    <t>✓ Your specific next steps to improve supplier readiness</t>
  </si>
  <si>
    <t>Why This Matters Now</t>
  </si>
  <si>
    <t>CSRD requires large companies to report Scope 3 emissions from their supply chain.</t>
  </si>
  <si>
    <t>This means YOUR customers will be asking YOU for sustainability data.</t>
  </si>
  <si>
    <t>Suppliers who can respond quickly and professionally will:</t>
  </si>
  <si>
    <t xml:space="preserve">  • Maintain relationships with major customers</t>
  </si>
  <si>
    <t xml:space="preserve">  • Win new business over less-prepared competitors</t>
  </si>
  <si>
    <t xml:space="preserve">  • Avoid last-minute scrambling when requests arrive</t>
  </si>
  <si>
    <t>Learn more: https://ecosystemsunited.com/sustainability-data-readiness-assessment</t>
  </si>
  <si>
    <t>Scope 3 Supplier CSRD Readiness Scorecard</t>
  </si>
  <si>
    <t>Section 1: Data Availability</t>
  </si>
  <si>
    <t>Question</t>
  </si>
  <si>
    <t>Why It Matters</t>
  </si>
  <si>
    <t>Answer</t>
  </si>
  <si>
    <t>Evidence Type</t>
  </si>
  <si>
    <t>Do you track your annual electricity consumption (kWh)?</t>
  </si>
  <si>
    <t>Essential for calculating Scope 2 emissions.</t>
  </si>
  <si>
    <t>Do you track fuel consumption for company vehicles?</t>
  </si>
  <si>
    <t>Needed for Scope 1 emissions calculations.</t>
  </si>
  <si>
    <t>Can you provide 12+ months of utility bills (electricity, gas, water)?</t>
  </si>
  <si>
    <t>Historical data proves ongoing performance.</t>
  </si>
  <si>
    <t>Do you track waste generation and recycling rates?</t>
  </si>
  <si>
    <t>Common request in environmental questionnaires.</t>
  </si>
  <si>
    <t>Do you know your direct greenhouse gas emissions (Scope 1 &amp; 2)?</t>
  </si>
  <si>
    <t>Core metric for all sustainability reporting.</t>
  </si>
  <si>
    <t>Section 2: Documentation &amp; Policies</t>
  </si>
  <si>
    <t>Do you have a documented environmental policy?</t>
  </si>
  <si>
    <t>Baseline requirement for most assessments.</t>
  </si>
  <si>
    <t>Do you have health &amp; safety policies documented?</t>
  </si>
  <si>
    <t>Required for social (S1) reporting.</t>
  </si>
  <si>
    <t>Do you have an ethics/anti-corruption policy?</t>
  </si>
  <si>
    <t>Governance requirement for most buyers.</t>
  </si>
  <si>
    <t>Can you provide valid ISO certifications (14001, 45001, etc.) if you have them?</t>
  </si>
  <si>
    <t>Certifications fast-track buyer acceptance.</t>
  </si>
  <si>
    <t>Do you track workforce diversity metrics (aggregate only)?</t>
  </si>
  <si>
    <t>Increasingly common social metric request.</t>
  </si>
  <si>
    <t>Section 3: Response Capacity</t>
  </si>
  <si>
    <t>Have you responded to a sustainability questionnaire before?</t>
  </si>
  <si>
    <t>Experience reduces response time by 50%+.</t>
  </si>
  <si>
    <t>Can someone dedicate 2-5 hours to respond to customer requests?</t>
  </si>
  <si>
    <t>Realistic time needed per questionnaire.</t>
  </si>
  <si>
    <t>Do you have a centralized folder for sustainability documents?</t>
  </si>
  <si>
    <t>Organization is critical for fast responses.</t>
  </si>
  <si>
    <t>Can you describe your supply chain and key suppliers?</t>
  </si>
  <si>
    <t>Often required for Scope 3 upstream questions.</t>
  </si>
  <si>
    <t>Do you understand basic GHG emissions terminology (Scope 1/2/3)?</t>
  </si>
  <si>
    <t>Prevents confusion when reading requests.</t>
  </si>
  <si>
    <t>Section 4: Strategic Preparedness</t>
  </si>
  <si>
    <t>Do you know which of your customers are subject to CSRD?</t>
  </si>
  <si>
    <t>Helps you anticipate incoming requests.</t>
  </si>
  <si>
    <t>Have you received sustainability data requests in the past 12 months?</t>
  </si>
  <si>
    <t>Shows urgency - more requests are coming.</t>
  </si>
  <si>
    <t>Do you have budget for sustainability reporting tools (€50-500/month)?</t>
  </si>
  <si>
    <t>Tools save time and improve quality.</t>
  </si>
  <si>
    <t>Is your leadership aware of increasing sustainability requirements?</t>
  </si>
  <si>
    <t>Executive support unlocks resources.</t>
  </si>
  <si>
    <t>Would you be willing to share sustainability data publicly (as a competitive advantage)?</t>
  </si>
  <si>
    <t>Proactive sharing reduces repetitive questionnaire work.</t>
  </si>
  <si>
    <t>⚠️ Highest Risk:</t>
  </si>
  <si>
    <t>Section</t>
  </si>
  <si>
    <t>Max Score</t>
  </si>
  <si>
    <t>Your Score</t>
  </si>
  <si>
    <t>Your Progress</t>
  </si>
  <si>
    <t>% Complete</t>
  </si>
  <si>
    <t>Data Availability</t>
  </si>
  <si>
    <t>Documentation &amp; Policies</t>
  </si>
  <si>
    <t>Response Capacity</t>
  </si>
  <si>
    <t>Strategic Preparedness</t>
  </si>
  <si>
    <t>Your Overall Readiness Score:</t>
  </si>
  <si>
    <t>Readiness Level:</t>
  </si>
  <si>
    <t>Your Weakest Area:</t>
  </si>
  <si>
    <t>Immediate Next Steps:</t>
  </si>
  <si>
    <t>Want the Full Picture?</t>
  </si>
  <si>
    <t>Get the Sustainability Data Readiness Assessment (€29)</t>
  </si>
  <si>
    <t>• Detailed gap analysis across 12 buyer requirement categories</t>
  </si>
  <si>
    <t>• Prioritized action roadmap based on YOUR specific gaps</t>
  </si>
  <si>
    <t>• Timeline planning tool for building capability before deadlines</t>
  </si>
  <si>
    <t>• Response templates for common buyer questions</t>
  </si>
  <si>
    <t>Yes</t>
  </si>
  <si>
    <t>No</t>
  </si>
  <si>
    <t>Partial</t>
  </si>
  <si>
    <t>Your Scope 3 Supplier Readiness Results</t>
  </si>
  <si>
    <t>© Cat Yeldi 2026 -  Ecosystems United - All Rights Reserved</t>
  </si>
  <si>
    <t xml:space="preserve">© Cat Yeldi 2026 | Ecosystems United | All Rights Resevered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</si>
</sst>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</font>
    <font>
      <b/>
      <sz val="20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</font>
    <font>
      <sz val="9"/>
      <color theme="0" tint="-0.499984740745262"/>
      <name val="Calibri"/>
      <family val="2"/>
      <scheme val="minor"/>
    </font>
    <font>
      <b/>
      <sz val="13"/>
      <color rgb="FF603FD3"/>
      <name val="Calibri"/>
      <family val="2"/>
    </font>
    <font>
      <b/>
      <sz val="11"/>
      <name val="Calibri"/>
    </font>
    <font>
      <b/>
      <sz val="11"/>
      <name val="Calibri"/>
      <family val="2"/>
    </font>
    <font>
      <b/>
      <sz val="11"/>
      <color rgb="FF603FD3"/>
      <name val="Calibri"/>
      <family val="2"/>
    </font>
    <font>
      <b/>
      <sz val="11"/>
      <name val="Calibri"/>
      <family val="2"/>
      <scheme val="minor"/>
    </font>
    <font>
      <b/>
      <sz val="14"/>
      <color rgb="FF603FD3"/>
      <name val="Calibri"/>
      <family val="2"/>
    </font>
    <font>
      <b/>
      <sz val="11"/>
      <color rgb="FFD97706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u/>
      <sz val="11"/>
      <name val="Calibri"/>
      <family val="2"/>
      <scheme val="minor"/>
    </font>
    <font>
      <sz val="9"/>
      <color theme="0" tint="-0.34998626667073579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E5F4"/>
        <bgColor indexed="64"/>
      </patternFill>
    </fill>
    <fill>
      <patternFill patternType="solid">
        <fgColor rgb="FFEDEFF7"/>
      </patternFill>
    </fill>
    <fill>
      <patternFill patternType="solid">
        <fgColor rgb="FFE8E5F4"/>
        <bgColor rgb="FFEAF7F1"/>
      </patternFill>
    </fill>
    <fill>
      <patternFill patternType="solid">
        <fgColor rgb="FFFFEBEE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9" fillId="3" borderId="1" xfId="0" applyFont="1" applyFill="1" applyBorder="1" applyAlignment="1">
      <alignment horizontal="left" vertical="top" wrapText="1" indent="1"/>
    </xf>
    <xf numFmtId="0" fontId="9" fillId="3" borderId="2" xfId="0" applyFont="1" applyFill="1" applyBorder="1" applyAlignment="1">
      <alignment horizontal="left" vertical="top" wrapText="1" indent="1"/>
    </xf>
    <xf numFmtId="0" fontId="9" fillId="3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left" vertical="top" wrapText="1" indent="1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center" indent="1"/>
    </xf>
    <xf numFmtId="0" fontId="11" fillId="4" borderId="7" xfId="0" applyFont="1" applyFill="1" applyBorder="1" applyAlignment="1">
      <alignment horizontal="left" indent="1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indent="1"/>
    </xf>
    <xf numFmtId="0" fontId="0" fillId="0" borderId="2" xfId="0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12" fillId="2" borderId="4" xfId="0" applyFont="1" applyFill="1" applyBorder="1" applyAlignment="1">
      <alignment horizontal="left" indent="1"/>
    </xf>
    <xf numFmtId="0" fontId="0" fillId="0" borderId="5" xfId="0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13" fillId="2" borderId="7" xfId="0" applyFont="1" applyFill="1" applyBorder="1" applyAlignment="1">
      <alignment horizontal="left" indent="1"/>
    </xf>
    <xf numFmtId="0" fontId="10" fillId="2" borderId="1" xfId="0" applyFont="1" applyFill="1" applyBorder="1" applyAlignment="1">
      <alignment horizontal="left" indent="1"/>
    </xf>
    <xf numFmtId="0" fontId="0" fillId="0" borderId="5" xfId="0" applyBorder="1" applyAlignment="1">
      <alignment horizontal="left" vertical="top" wrapText="1" indent="1"/>
    </xf>
    <xf numFmtId="0" fontId="3" fillId="0" borderId="0" xfId="0" applyFont="1"/>
    <xf numFmtId="0" fontId="10" fillId="2" borderId="4" xfId="0" applyFont="1" applyFill="1" applyBorder="1" applyAlignment="1">
      <alignment horizontal="left" vertical="top" indent="1"/>
    </xf>
    <xf numFmtId="0" fontId="0" fillId="0" borderId="0" xfId="0"/>
    <xf numFmtId="0" fontId="9" fillId="3" borderId="2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0" xfId="0" applyAlignment="1">
      <alignment horizontal="left" indent="1"/>
    </xf>
    <xf numFmtId="0" fontId="18" fillId="0" borderId="0" xfId="1" applyFont="1" applyAlignment="1">
      <alignment horizontal="right"/>
    </xf>
    <xf numFmtId="0" fontId="16" fillId="5" borderId="0" xfId="0" applyFont="1" applyFill="1"/>
    <xf numFmtId="0" fontId="1" fillId="5" borderId="0" xfId="0" applyFont="1" applyFill="1"/>
    <xf numFmtId="0" fontId="8" fillId="2" borderId="7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11" xfId="0" applyBorder="1"/>
    <xf numFmtId="0" fontId="7" fillId="0" borderId="0" xfId="1" applyFont="1" applyAlignment="1">
      <alignment horizontal="right"/>
    </xf>
    <xf numFmtId="0" fontId="0" fillId="0" borderId="0" xfId="0"/>
    <xf numFmtId="0" fontId="10" fillId="0" borderId="2" xfId="0" applyFont="1" applyBorder="1" applyAlignment="1">
      <alignment horizontal="left"/>
    </xf>
    <xf numFmtId="0" fontId="0" fillId="0" borderId="12" xfId="0" applyBorder="1"/>
    <xf numFmtId="0" fontId="0" fillId="0" borderId="13" xfId="0" applyBorder="1"/>
    <xf numFmtId="9" fontId="6" fillId="0" borderId="8" xfId="0" applyNumberFormat="1" applyFont="1" applyBorder="1" applyAlignment="1">
      <alignment horizontal="left" indent="1"/>
    </xf>
    <xf numFmtId="0" fontId="0" fillId="0" borderId="5" xfId="0" applyBorder="1" applyAlignment="1">
      <alignment horizontal="left" vertical="top" wrapText="1" indent="1"/>
    </xf>
    <xf numFmtId="0" fontId="0" fillId="0" borderId="14" xfId="0" applyBorder="1"/>
    <xf numFmtId="0" fontId="0" fillId="0" borderId="15" xfId="0" applyBorder="1"/>
    <xf numFmtId="0" fontId="14" fillId="0" borderId="2" xfId="0" applyFont="1" applyBorder="1" applyAlignment="1">
      <alignment horizontal="left" indent="1"/>
    </xf>
    <xf numFmtId="0" fontId="19" fillId="0" borderId="0" xfId="0" applyFont="1" applyAlignment="1">
      <alignment horizontal="right"/>
    </xf>
    <xf numFmtId="0" fontId="5" fillId="0" borderId="0" xfId="0" applyFont="1" applyBorder="1" applyAlignment="1">
      <alignment horizontal="left" indent="1"/>
    </xf>
    <xf numFmtId="0" fontId="15" fillId="0" borderId="0" xfId="0" applyFont="1" applyBorder="1" applyAlignment="1">
      <alignment horizontal="left" indent="1"/>
    </xf>
    <xf numFmtId="0" fontId="12" fillId="0" borderId="0" xfId="0" applyFont="1" applyBorder="1" applyAlignment="1">
      <alignment horizontal="left" indent="1"/>
    </xf>
    <xf numFmtId="0" fontId="6" fillId="0" borderId="0" xfId="0" applyFont="1"/>
    <xf numFmtId="0" fontId="4" fillId="0" borderId="0" xfId="0" applyFont="1" applyBorder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2" fillId="0" borderId="0" xfId="0" applyFont="1" applyBorder="1" applyAlignment="1"/>
    <xf numFmtId="0" fontId="10" fillId="0" borderId="0" xfId="0" applyFont="1" applyAlignment="1">
      <alignment horizontal="left" indent="1"/>
    </xf>
    <xf numFmtId="0" fontId="0" fillId="0" borderId="0" xfId="0" applyFont="1" applyAlignment="1">
      <alignment horizontal="left" indent="1"/>
    </xf>
    <xf numFmtId="0" fontId="17" fillId="0" borderId="0" xfId="1" applyFont="1" applyAlignment="1">
      <alignment horizontal="left" indent="1"/>
    </xf>
    <xf numFmtId="0" fontId="4" fillId="0" borderId="0" xfId="0" applyFont="1"/>
    <xf numFmtId="0" fontId="4" fillId="0" borderId="0" xfId="0" applyFont="1"/>
    <xf numFmtId="0" fontId="2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1</xdr:row>
      <xdr:rowOff>15240</xdr:rowOff>
    </xdr:from>
    <xdr:to>
      <xdr:col>0</xdr:col>
      <xdr:colOff>806918</xdr:colOff>
      <xdr:row>2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251460"/>
          <a:ext cx="593558" cy="4572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243840</xdr:colOff>
      <xdr:row>1</xdr:row>
      <xdr:rowOff>22860</xdr:rowOff>
    </xdr:from>
    <xdr:to>
      <xdr:col>0</xdr:col>
      <xdr:colOff>837398</xdr:colOff>
      <xdr:row>2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" y="205740"/>
          <a:ext cx="593558" cy="45466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205740</xdr:colOff>
      <xdr:row>1</xdr:row>
      <xdr:rowOff>30480</xdr:rowOff>
    </xdr:from>
    <xdr:to>
      <xdr:col>0</xdr:col>
      <xdr:colOff>799298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5740" y="213360"/>
          <a:ext cx="593558" cy="4572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cosystemsunited.com/sustainability-data-readiness-assessment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ecosystemsunited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cosystemsunited.com/sustainability-data-readiness-assessment" TargetMode="External"/><Relationship Id="rId1" Type="http://schemas.openxmlformats.org/officeDocument/2006/relationships/hyperlink" Target="https://ecosystemsunited.com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showGridLines="0" tabSelected="1" zoomScale="75" zoomScaleNormal="75" workbookViewId="0">
      <selection activeCell="B56" sqref="B56"/>
    </sheetView>
  </sheetViews>
  <sheetFormatPr defaultRowHeight="14.4" x14ac:dyDescent="0.3"/>
  <cols>
    <col min="1" max="1" width="15.77734375" style="25" customWidth="1"/>
    <col min="2" max="2" width="115" style="29" customWidth="1"/>
  </cols>
  <sheetData>
    <row r="1" spans="2:2" ht="18.600000000000001" customHeight="1" x14ac:dyDescent="0.35">
      <c r="B1" s="23"/>
    </row>
    <row r="2" spans="2:2" ht="25.8" customHeight="1" x14ac:dyDescent="0.3">
      <c r="B2" s="51" t="s">
        <v>0</v>
      </c>
    </row>
    <row r="3" spans="2:2" ht="25.8" customHeight="1" x14ac:dyDescent="0.3">
      <c r="B3" s="51"/>
    </row>
    <row r="4" spans="2:2" ht="18" x14ac:dyDescent="0.35">
      <c r="B4" s="52" t="s">
        <v>1</v>
      </c>
    </row>
    <row r="5" spans="2:2" x14ac:dyDescent="0.3">
      <c r="B5" s="48" t="s">
        <v>2</v>
      </c>
    </row>
    <row r="6" spans="2:2" x14ac:dyDescent="0.3">
      <c r="B6" s="48" t="s">
        <v>3</v>
      </c>
    </row>
    <row r="7" spans="2:2" x14ac:dyDescent="0.3">
      <c r="B7" s="48" t="s">
        <v>4</v>
      </c>
    </row>
    <row r="8" spans="2:2" x14ac:dyDescent="0.3">
      <c r="B8" s="47" t="s">
        <v>5</v>
      </c>
    </row>
    <row r="9" spans="2:2" x14ac:dyDescent="0.3">
      <c r="B9" s="53"/>
    </row>
    <row r="10" spans="2:2" x14ac:dyDescent="0.3">
      <c r="B10" s="54" t="s">
        <v>6</v>
      </c>
    </row>
    <row r="11" spans="2:2" x14ac:dyDescent="0.3">
      <c r="B11" s="47" t="s">
        <v>7</v>
      </c>
    </row>
    <row r="12" spans="2:2" x14ac:dyDescent="0.3">
      <c r="B12" s="53"/>
    </row>
    <row r="13" spans="2:2" ht="18" customHeight="1" x14ac:dyDescent="0.35">
      <c r="B13" s="52" t="s">
        <v>8</v>
      </c>
    </row>
    <row r="14" spans="2:2" x14ac:dyDescent="0.3">
      <c r="B14" s="47" t="s">
        <v>9</v>
      </c>
    </row>
    <row r="15" spans="2:2" x14ac:dyDescent="0.3">
      <c r="B15" s="47" t="s">
        <v>10</v>
      </c>
    </row>
    <row r="16" spans="2:2" x14ac:dyDescent="0.3">
      <c r="B16" s="47" t="s">
        <v>11</v>
      </c>
    </row>
    <row r="17" spans="2:2" x14ac:dyDescent="0.3">
      <c r="B17" s="47" t="s">
        <v>12</v>
      </c>
    </row>
    <row r="18" spans="2:2" x14ac:dyDescent="0.3">
      <c r="B18" s="53"/>
    </row>
    <row r="19" spans="2:2" ht="18" customHeight="1" x14ac:dyDescent="0.35">
      <c r="B19" s="52" t="s">
        <v>13</v>
      </c>
    </row>
    <row r="20" spans="2:2" x14ac:dyDescent="0.3">
      <c r="B20" s="49" t="s">
        <v>14</v>
      </c>
    </row>
    <row r="21" spans="2:2" x14ac:dyDescent="0.3">
      <c r="B21" s="47" t="s">
        <v>15</v>
      </c>
    </row>
    <row r="22" spans="2:2" x14ac:dyDescent="0.3">
      <c r="B22" s="47" t="s">
        <v>16</v>
      </c>
    </row>
    <row r="23" spans="2:2" x14ac:dyDescent="0.3">
      <c r="B23" s="47" t="s">
        <v>17</v>
      </c>
    </row>
    <row r="24" spans="2:2" x14ac:dyDescent="0.3">
      <c r="B24" s="47" t="s">
        <v>18</v>
      </c>
    </row>
    <row r="25" spans="2:2" x14ac:dyDescent="0.3">
      <c r="B25" s="47" t="s">
        <v>19</v>
      </c>
    </row>
    <row r="26" spans="2:2" x14ac:dyDescent="0.3">
      <c r="B26" s="47"/>
    </row>
    <row r="27" spans="2:2" ht="15.6" customHeight="1" x14ac:dyDescent="0.35">
      <c r="B27" s="50" t="s">
        <v>84</v>
      </c>
    </row>
    <row r="28" spans="2:2" ht="15" customHeight="1" x14ac:dyDescent="0.3">
      <c r="B28" s="55" t="s">
        <v>85</v>
      </c>
    </row>
    <row r="29" spans="2:2" ht="15" customHeight="1" x14ac:dyDescent="0.3">
      <c r="B29" s="56" t="s">
        <v>86</v>
      </c>
    </row>
    <row r="30" spans="2:2" ht="15" customHeight="1" x14ac:dyDescent="0.3">
      <c r="B30" s="56" t="s">
        <v>87</v>
      </c>
    </row>
    <row r="31" spans="2:2" ht="15" customHeight="1" x14ac:dyDescent="0.3">
      <c r="B31" s="56" t="s">
        <v>88</v>
      </c>
    </row>
    <row r="32" spans="2:2" ht="15" customHeight="1" x14ac:dyDescent="0.3">
      <c r="B32" s="56" t="s">
        <v>89</v>
      </c>
    </row>
    <row r="33" spans="2:2" x14ac:dyDescent="0.3">
      <c r="B33" s="57" t="s">
        <v>20</v>
      </c>
    </row>
  </sheetData>
  <hyperlinks>
    <hyperlink ref="B33" r:id="rId1" xr:uid="{919EC772-DEA9-4E3A-BC21-9F818528BCED}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7"/>
  <sheetViews>
    <sheetView showGridLines="0" zoomScale="75" zoomScaleNormal="75" workbookViewId="0">
      <selection activeCell="C49" sqref="C49"/>
    </sheetView>
  </sheetViews>
  <sheetFormatPr defaultRowHeight="14.4" x14ac:dyDescent="0.3"/>
  <cols>
    <col min="1" max="1" width="15.77734375" style="25" customWidth="1"/>
    <col min="2" max="2" width="72.33203125" style="25" customWidth="1"/>
    <col min="3" max="3" width="50.33203125" style="25" customWidth="1"/>
    <col min="4" max="4" width="16.33203125" style="25" customWidth="1"/>
    <col min="5" max="5" width="24.109375" style="25" customWidth="1"/>
  </cols>
  <sheetData>
    <row r="2" spans="2:5" ht="23.4" customHeight="1" x14ac:dyDescent="0.5">
      <c r="B2" s="58" t="s">
        <v>21</v>
      </c>
    </row>
    <row r="3" spans="2:5" ht="15" customHeight="1" thickBot="1" x14ac:dyDescent="0.35"/>
    <row r="4" spans="2:5" ht="18" customHeight="1" x14ac:dyDescent="0.3">
      <c r="B4" s="33" t="s">
        <v>22</v>
      </c>
      <c r="C4" s="34"/>
      <c r="D4" s="34"/>
      <c r="E4" s="35"/>
    </row>
    <row r="5" spans="2:5" x14ac:dyDescent="0.3">
      <c r="B5" s="1" t="s">
        <v>23</v>
      </c>
      <c r="C5" s="2" t="s">
        <v>24</v>
      </c>
      <c r="D5" s="26" t="s">
        <v>25</v>
      </c>
      <c r="E5" s="3" t="s">
        <v>26</v>
      </c>
    </row>
    <row r="6" spans="2:5" x14ac:dyDescent="0.3">
      <c r="B6" s="4" t="s">
        <v>27</v>
      </c>
      <c r="C6" s="5" t="s">
        <v>28</v>
      </c>
      <c r="D6" s="27"/>
      <c r="E6" s="6"/>
    </row>
    <row r="7" spans="2:5" x14ac:dyDescent="0.3">
      <c r="B7" s="4" t="s">
        <v>29</v>
      </c>
      <c r="C7" s="5" t="s">
        <v>30</v>
      </c>
      <c r="D7" s="27"/>
      <c r="E7" s="6"/>
    </row>
    <row r="8" spans="2:5" x14ac:dyDescent="0.3">
      <c r="B8" s="4" t="s">
        <v>31</v>
      </c>
      <c r="C8" s="5" t="s">
        <v>32</v>
      </c>
      <c r="D8" s="27"/>
      <c r="E8" s="6"/>
    </row>
    <row r="9" spans="2:5" x14ac:dyDescent="0.3">
      <c r="B9" s="4" t="s">
        <v>33</v>
      </c>
      <c r="C9" s="5" t="s">
        <v>34</v>
      </c>
      <c r="D9" s="27"/>
      <c r="E9" s="6"/>
    </row>
    <row r="10" spans="2:5" ht="15" customHeight="1" thickBot="1" x14ac:dyDescent="0.35">
      <c r="B10" s="7" t="s">
        <v>35</v>
      </c>
      <c r="C10" s="22" t="s">
        <v>36</v>
      </c>
      <c r="D10" s="28"/>
      <c r="E10" s="8"/>
    </row>
    <row r="11" spans="2:5" ht="15" customHeight="1" thickBot="1" x14ac:dyDescent="0.35">
      <c r="B11" s="9"/>
      <c r="C11" s="9"/>
      <c r="D11" s="10"/>
      <c r="E11" s="10"/>
    </row>
    <row r="12" spans="2:5" ht="18" customHeight="1" x14ac:dyDescent="0.3">
      <c r="B12" s="33" t="s">
        <v>37</v>
      </c>
      <c r="C12" s="34"/>
      <c r="D12" s="34"/>
      <c r="E12" s="35"/>
    </row>
    <row r="13" spans="2:5" x14ac:dyDescent="0.3">
      <c r="B13" s="1" t="s">
        <v>23</v>
      </c>
      <c r="C13" s="2" t="s">
        <v>24</v>
      </c>
      <c r="D13" s="26" t="s">
        <v>25</v>
      </c>
      <c r="E13" s="3" t="s">
        <v>26</v>
      </c>
    </row>
    <row r="14" spans="2:5" x14ac:dyDescent="0.3">
      <c r="B14" s="4" t="s">
        <v>38</v>
      </c>
      <c r="C14" s="5" t="s">
        <v>39</v>
      </c>
      <c r="D14" s="27"/>
      <c r="E14" s="6"/>
    </row>
    <row r="15" spans="2:5" x14ac:dyDescent="0.3">
      <c r="B15" s="4" t="s">
        <v>40</v>
      </c>
      <c r="C15" s="5" t="s">
        <v>41</v>
      </c>
      <c r="D15" s="27"/>
      <c r="E15" s="6"/>
    </row>
    <row r="16" spans="2:5" x14ac:dyDescent="0.3">
      <c r="B16" s="4" t="s">
        <v>42</v>
      </c>
      <c r="C16" s="5" t="s">
        <v>43</v>
      </c>
      <c r="D16" s="27"/>
      <c r="E16" s="6"/>
    </row>
    <row r="17" spans="2:5" x14ac:dyDescent="0.3">
      <c r="B17" s="4" t="s">
        <v>44</v>
      </c>
      <c r="C17" s="5" t="s">
        <v>45</v>
      </c>
      <c r="D17" s="27"/>
      <c r="E17" s="6"/>
    </row>
    <row r="18" spans="2:5" ht="15" customHeight="1" thickBot="1" x14ac:dyDescent="0.35">
      <c r="B18" s="7" t="s">
        <v>46</v>
      </c>
      <c r="C18" s="22" t="s">
        <v>47</v>
      </c>
      <c r="D18" s="28"/>
      <c r="E18" s="8"/>
    </row>
    <row r="19" spans="2:5" ht="15" customHeight="1" thickBot="1" x14ac:dyDescent="0.35">
      <c r="B19" s="9"/>
      <c r="C19" s="9"/>
      <c r="D19" s="10"/>
      <c r="E19" s="10"/>
    </row>
    <row r="20" spans="2:5" ht="18" customHeight="1" x14ac:dyDescent="0.3">
      <c r="B20" s="33" t="s">
        <v>48</v>
      </c>
      <c r="C20" s="34"/>
      <c r="D20" s="34"/>
      <c r="E20" s="35"/>
    </row>
    <row r="21" spans="2:5" x14ac:dyDescent="0.3">
      <c r="B21" s="1" t="s">
        <v>23</v>
      </c>
      <c r="C21" s="2" t="s">
        <v>24</v>
      </c>
      <c r="D21" s="26" t="s">
        <v>25</v>
      </c>
      <c r="E21" s="3" t="s">
        <v>26</v>
      </c>
    </row>
    <row r="22" spans="2:5" x14ac:dyDescent="0.3">
      <c r="B22" s="4" t="s">
        <v>49</v>
      </c>
      <c r="C22" s="5" t="s">
        <v>50</v>
      </c>
      <c r="D22" s="27"/>
      <c r="E22" s="6"/>
    </row>
    <row r="23" spans="2:5" x14ac:dyDescent="0.3">
      <c r="B23" s="4" t="s">
        <v>51</v>
      </c>
      <c r="C23" s="5" t="s">
        <v>52</v>
      </c>
      <c r="D23" s="27"/>
      <c r="E23" s="6"/>
    </row>
    <row r="24" spans="2:5" x14ac:dyDescent="0.3">
      <c r="B24" s="4" t="s">
        <v>53</v>
      </c>
      <c r="C24" s="5" t="s">
        <v>54</v>
      </c>
      <c r="D24" s="27"/>
      <c r="E24" s="6"/>
    </row>
    <row r="25" spans="2:5" x14ac:dyDescent="0.3">
      <c r="B25" s="4" t="s">
        <v>55</v>
      </c>
      <c r="C25" s="5" t="s">
        <v>56</v>
      </c>
      <c r="D25" s="27"/>
      <c r="E25" s="6"/>
    </row>
    <row r="26" spans="2:5" ht="15" customHeight="1" thickBot="1" x14ac:dyDescent="0.35">
      <c r="B26" s="7" t="s">
        <v>57</v>
      </c>
      <c r="C26" s="22" t="s">
        <v>58</v>
      </c>
      <c r="D26" s="28"/>
      <c r="E26" s="8"/>
    </row>
    <row r="27" spans="2:5" ht="15" customHeight="1" thickBot="1" x14ac:dyDescent="0.35">
      <c r="B27" s="9"/>
      <c r="C27" s="9"/>
      <c r="D27" s="10"/>
      <c r="E27" s="10"/>
    </row>
    <row r="28" spans="2:5" ht="18" customHeight="1" x14ac:dyDescent="0.3">
      <c r="B28" s="33" t="s">
        <v>59</v>
      </c>
      <c r="C28" s="34"/>
      <c r="D28" s="34"/>
      <c r="E28" s="35"/>
    </row>
    <row r="29" spans="2:5" x14ac:dyDescent="0.3">
      <c r="B29" s="1" t="s">
        <v>23</v>
      </c>
      <c r="C29" s="2" t="s">
        <v>24</v>
      </c>
      <c r="D29" s="26" t="s">
        <v>25</v>
      </c>
      <c r="E29" s="3" t="s">
        <v>26</v>
      </c>
    </row>
    <row r="30" spans="2:5" x14ac:dyDescent="0.3">
      <c r="B30" s="4" t="s">
        <v>60</v>
      </c>
      <c r="C30" s="5" t="s">
        <v>61</v>
      </c>
      <c r="D30" s="27"/>
      <c r="E30" s="6"/>
    </row>
    <row r="31" spans="2:5" x14ac:dyDescent="0.3">
      <c r="B31" s="4" t="s">
        <v>62</v>
      </c>
      <c r="C31" s="5" t="s">
        <v>63</v>
      </c>
      <c r="D31" s="27"/>
      <c r="E31" s="6"/>
    </row>
    <row r="32" spans="2:5" x14ac:dyDescent="0.3">
      <c r="B32" s="4" t="s">
        <v>64</v>
      </c>
      <c r="C32" s="5" t="s">
        <v>65</v>
      </c>
      <c r="D32" s="27"/>
      <c r="E32" s="6"/>
    </row>
    <row r="33" spans="2:5" x14ac:dyDescent="0.3">
      <c r="B33" s="4" t="s">
        <v>66</v>
      </c>
      <c r="C33" s="5" t="s">
        <v>67</v>
      </c>
      <c r="D33" s="27"/>
      <c r="E33" s="6"/>
    </row>
    <row r="34" spans="2:5" ht="15" customHeight="1" thickBot="1" x14ac:dyDescent="0.35">
      <c r="B34" s="7" t="s">
        <v>68</v>
      </c>
      <c r="C34" s="22" t="s">
        <v>69</v>
      </c>
      <c r="D34" s="28"/>
      <c r="E34" s="8"/>
    </row>
    <row r="37" spans="2:5" x14ac:dyDescent="0.3">
      <c r="B37" s="36" t="s">
        <v>95</v>
      </c>
      <c r="C37" s="37"/>
      <c r="D37" s="37"/>
      <c r="E37" s="37"/>
    </row>
  </sheetData>
  <mergeCells count="5">
    <mergeCell ref="B4:E4"/>
    <mergeCell ref="B12:E12"/>
    <mergeCell ref="B37:E37"/>
    <mergeCell ref="B20:E20"/>
    <mergeCell ref="B28:E28"/>
  </mergeCells>
  <dataValidations count="3">
    <dataValidation type="list" allowBlank="1" showInputMessage="1" showErrorMessage="1" sqref="E6:E11 E14:E19 E22:E27 E30:E36" xr:uid="{00000000-0002-0000-0100-000000000000}">
      <formula1>"Data Evidence,Policy / Documentation"</formula1>
    </dataValidation>
    <dataValidation type="list" allowBlank="1" showInputMessage="1" showErrorMessage="1" sqref="D14:D18 D22:D26 D30:D34" xr:uid="{00000000-0002-0000-0100-000001000000}">
      <formula1>"Yes,No"</formula1>
    </dataValidation>
    <dataValidation type="list" allowBlank="1" showInputMessage="1" showErrorMessage="1" sqref="D6:D10" xr:uid="{00000000-0002-0000-0100-000002000000}">
      <formula1>"Yes,No,Partial"</formula1>
    </dataValidation>
  </dataValidations>
  <hyperlinks>
    <hyperlink ref="B37" r:id="rId1" display="Created by Cat Yeldi | https://ecosystemsunited.com/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7"/>
  <sheetViews>
    <sheetView showGridLines="0" zoomScale="75" zoomScaleNormal="75" workbookViewId="0">
      <selection activeCell="H29" sqref="H29"/>
    </sheetView>
  </sheetViews>
  <sheetFormatPr defaultRowHeight="14.4" x14ac:dyDescent="0.3"/>
  <cols>
    <col min="1" max="1" width="15.77734375" style="25" customWidth="1"/>
    <col min="2" max="2" width="35" style="25" customWidth="1"/>
    <col min="3" max="6" width="20.77734375" style="25" customWidth="1"/>
  </cols>
  <sheetData>
    <row r="2" spans="2:6" ht="23.4" customHeight="1" x14ac:dyDescent="0.5">
      <c r="B2" s="59" t="s">
        <v>93</v>
      </c>
      <c r="C2" s="60"/>
      <c r="D2" s="60"/>
      <c r="E2" s="60"/>
      <c r="F2" s="60"/>
    </row>
    <row r="3" spans="2:6" x14ac:dyDescent="0.3">
      <c r="B3" s="31" t="s">
        <v>70</v>
      </c>
      <c r="C3" s="32" t="str">
        <f>C14</f>
        <v>No data yet</v>
      </c>
    </row>
    <row r="4" spans="2:6" ht="15" customHeight="1" thickBot="1" x14ac:dyDescent="0.35"/>
    <row r="5" spans="2:6" x14ac:dyDescent="0.3">
      <c r="B5" s="11" t="s">
        <v>71</v>
      </c>
      <c r="C5" s="12" t="s">
        <v>72</v>
      </c>
      <c r="D5" s="12" t="s">
        <v>73</v>
      </c>
      <c r="E5" s="12" t="s">
        <v>74</v>
      </c>
      <c r="F5" s="13" t="s">
        <v>75</v>
      </c>
    </row>
    <row r="6" spans="2:6" x14ac:dyDescent="0.3">
      <c r="B6" s="14" t="s">
        <v>76</v>
      </c>
      <c r="C6" s="15">
        <v>5</v>
      </c>
      <c r="D6" s="15">
        <f>SUMPRODUCT(
  (Scorecard!D6:D10="Yes")*1 +
  (Scorecard!D6:D10="Partial")*0.5
)</f>
        <v>0</v>
      </c>
      <c r="E6" s="15" t="str">
        <f>REPT("█",D6)&amp;REPT("░",C6-D6)&amp;" "&amp;D6&amp;"/"&amp;C6</f>
        <v>░░░░░ 0/5</v>
      </c>
      <c r="F6" s="16">
        <f>D6/C6</f>
        <v>0</v>
      </c>
    </row>
    <row r="7" spans="2:6" x14ac:dyDescent="0.3">
      <c r="B7" s="14" t="s">
        <v>77</v>
      </c>
      <c r="C7" s="15">
        <v>5</v>
      </c>
      <c r="D7" s="15">
        <f>SUMPRODUCT(
  (Scorecard!D14:D18="Yes")*1 +
  (Scorecard!D14:D18="Partial")*0.5
)</f>
        <v>0</v>
      </c>
      <c r="E7" s="15" t="str">
        <f>REPT("█",D7)&amp;REPT("░",C7-D7)&amp;" "&amp;D7&amp;"/"&amp;C7</f>
        <v>░░░░░ 0/5</v>
      </c>
      <c r="F7" s="16">
        <f>D7/C7</f>
        <v>0</v>
      </c>
    </row>
    <row r="8" spans="2:6" x14ac:dyDescent="0.3">
      <c r="B8" s="14" t="s">
        <v>78</v>
      </c>
      <c r="C8" s="15">
        <v>5</v>
      </c>
      <c r="D8" s="15">
        <f>SUMPRODUCT(
  (Scorecard!D22:D26="Yes")*1 +
  (Scorecard!D22:D26="Partial")*0.5
)</f>
        <v>0</v>
      </c>
      <c r="E8" s="15" t="str">
        <f>REPT("█",D8)&amp;REPT("░",C8-D8)&amp;" "&amp;D8&amp;"/"&amp;C8</f>
        <v>░░░░░ 0/5</v>
      </c>
      <c r="F8" s="16">
        <f>D8/C8</f>
        <v>0</v>
      </c>
    </row>
    <row r="9" spans="2:6" ht="15" customHeight="1" thickBot="1" x14ac:dyDescent="0.35">
      <c r="B9" s="17" t="s">
        <v>79</v>
      </c>
      <c r="C9" s="18">
        <v>5</v>
      </c>
      <c r="D9" s="18">
        <f>SUMPRODUCT(
  (Scorecard!D30:D34="Yes")*1 +
  (Scorecard!D30:D34="Partial")*0.5
)</f>
        <v>0</v>
      </c>
      <c r="E9" s="18" t="str">
        <f>REPT("█",D9)&amp;REPT("░",C9-D9)&amp;" "&amp;D9&amp;"/"&amp;C9</f>
        <v>░░░░░ 0/5</v>
      </c>
      <c r="F9" s="19">
        <f>D9/C9</f>
        <v>0</v>
      </c>
    </row>
    <row r="11" spans="2:6" ht="15" customHeight="1" thickBot="1" x14ac:dyDescent="0.35"/>
    <row r="12" spans="2:6" ht="18" customHeight="1" x14ac:dyDescent="0.35">
      <c r="B12" s="20" t="s">
        <v>80</v>
      </c>
      <c r="C12" s="41">
        <f>SUM(D6:D9)/20</f>
        <v>0</v>
      </c>
      <c r="D12" s="34"/>
      <c r="E12" s="34"/>
      <c r="F12" s="35"/>
    </row>
    <row r="13" spans="2:6" x14ac:dyDescent="0.3">
      <c r="B13" s="21" t="s">
        <v>81</v>
      </c>
      <c r="C13" s="38" t="str">
        <f>IF(C12&gt;=0.85,"✅ Ready to respond",
  IF(C12&gt;=0.6,"🔶  Strong start",
    "⚠️ Getting Started"
  )
)</f>
        <v>⚠️ Getting Started</v>
      </c>
      <c r="D13" s="39"/>
      <c r="E13" s="39"/>
      <c r="F13" s="40"/>
    </row>
    <row r="14" spans="2:6" x14ac:dyDescent="0.3">
      <c r="B14" s="21" t="s">
        <v>82</v>
      </c>
      <c r="C14" s="45" t="str">
        <f>IF(SUM(D6:D9)=0,
   "No data yet",
   INDEX(
     {"Data Availability","Documentation &amp; Policies","Response Capacity","Strategic Preparedness"},
     MATCH(MIN(IF(D6:D9&gt;0,D6:D9)),D6:D9,0)
   )
)</f>
        <v>No data yet</v>
      </c>
      <c r="D14" s="39"/>
      <c r="E14" s="39"/>
      <c r="F14" s="40"/>
    </row>
    <row r="15" spans="2:6" ht="30" customHeight="1" thickBot="1" x14ac:dyDescent="0.35">
      <c r="B15" s="24" t="s">
        <v>83</v>
      </c>
      <c r="C15" s="42" t="str">
        <f>IF(
  C14="Data Availability",
  "Start tracking electricity, fuel, and waste — the Supplier System helps you build a reliable data foundation and automate evidence tracking.",
IF(
  C14="Documentation &amp; Policies",
  "Draft an environmental, ethics, and H&amp;S policy — the Emergency Responder gives you ready-to-use templates and disclosure text.",
IF(
  C14="Response Capacity",
  "Create a Sustainability folder and organize all certificates, policies, and data — the Supplier System includes a data request tracker and communication scripts.",
IF(
  C14="Strategic Preparedness",
  "Identify which customers are subject to CSRD and prepare your proactive disclosures — the Competitive Edge toolkit shows how to turn compliance into advantage.",
"You're at the starting line — begin your sustainability journey with the Emergency Responder (48-Hour Crisis Kit)."
))))</f>
        <v>You're at the starting line — begin your sustainability journey with the Emergency Responder (48-Hour Crisis Kit).</v>
      </c>
      <c r="D15" s="43"/>
      <c r="E15" s="43"/>
      <c r="F15" s="44"/>
    </row>
    <row r="18" spans="2:6" ht="18" customHeight="1" x14ac:dyDescent="0.35">
      <c r="B18" s="50" t="s">
        <v>84</v>
      </c>
    </row>
    <row r="19" spans="2:6" ht="15.6" customHeight="1" x14ac:dyDescent="0.3">
      <c r="B19" s="55" t="s">
        <v>85</v>
      </c>
    </row>
    <row r="20" spans="2:6" x14ac:dyDescent="0.3">
      <c r="B20" s="56" t="s">
        <v>86</v>
      </c>
    </row>
    <row r="21" spans="2:6" x14ac:dyDescent="0.3">
      <c r="B21" s="56" t="s">
        <v>87</v>
      </c>
    </row>
    <row r="22" spans="2:6" x14ac:dyDescent="0.3">
      <c r="B22" s="56" t="s">
        <v>88</v>
      </c>
    </row>
    <row r="23" spans="2:6" x14ac:dyDescent="0.3">
      <c r="B23" s="56" t="s">
        <v>89</v>
      </c>
      <c r="F23" s="30"/>
    </row>
    <row r="24" spans="2:6" x14ac:dyDescent="0.3">
      <c r="B24" s="57" t="s">
        <v>20</v>
      </c>
    </row>
    <row r="25" spans="2:6" s="25" customFormat="1" x14ac:dyDescent="0.3"/>
    <row r="27" spans="2:6" x14ac:dyDescent="0.3">
      <c r="C27" s="46" t="s">
        <v>94</v>
      </c>
      <c r="D27" s="46"/>
      <c r="E27" s="46"/>
      <c r="F27" s="46"/>
    </row>
  </sheetData>
  <mergeCells count="6">
    <mergeCell ref="C27:F27"/>
    <mergeCell ref="C13:F13"/>
    <mergeCell ref="B2:F2"/>
    <mergeCell ref="C12:F12"/>
    <mergeCell ref="C15:F15"/>
    <mergeCell ref="C14:F14"/>
  </mergeCells>
  <hyperlinks>
    <hyperlink ref="F23" r:id="rId1" display="https://ecosystemsunited.com/" xr:uid="{00000000-0004-0000-0200-000000000000}"/>
    <hyperlink ref="B24" r:id="rId2" xr:uid="{75198660-4408-4C0B-AC76-64A8361EE91E}"/>
  </hyperlinks>
  <pageMargins left="0.7" right="0.7" top="0.75" bottom="0.75" header="0.3" footer="0.3"/>
  <pageSetup paperSize="9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4"/>
  <sheetViews>
    <sheetView workbookViewId="0">
      <selection activeCell="H22" sqref="H22"/>
    </sheetView>
  </sheetViews>
  <sheetFormatPr defaultRowHeight="14.4" x14ac:dyDescent="0.3"/>
  <sheetData>
    <row r="2" spans="2:2" x14ac:dyDescent="0.3">
      <c r="B2" t="s">
        <v>90</v>
      </c>
    </row>
    <row r="3" spans="2:2" x14ac:dyDescent="0.3">
      <c r="B3" t="s">
        <v>91</v>
      </c>
    </row>
    <row r="4" spans="2:2" x14ac:dyDescent="0.3">
      <c r="B4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Scorecard</vt:lpstr>
      <vt:lpstr>Results</vt:lpstr>
      <vt:lpstr>Data_Validation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2025-12-02T09:37:03Z</dcterms:created>
  <dcterms:modified xsi:type="dcterms:W3CDTF">2026-01-22T20:38:42Z</dcterms:modified>
</cp:coreProperties>
</file>