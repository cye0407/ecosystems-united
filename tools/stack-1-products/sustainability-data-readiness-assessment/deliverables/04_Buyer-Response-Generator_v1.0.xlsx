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CY\ecosystems-united\tools\stack-1-products\sustainability-data-readiness-assessment\deliverables\"/>
    </mc:Choice>
  </mc:AlternateContent>
  <xr:revisionPtr revIDLastSave="0" documentId="13_ncr:1_{9D795949-566F-4BBE-95B0-A97DFA6C2A52}" xr6:coauthVersionLast="36" xr6:coauthVersionMax="36" xr10:uidLastSave="{00000000-0000-0000-0000-000000000000}"/>
  <bookViews>
    <workbookView xWindow="0" yWindow="0" windowWidth="23040" windowHeight="7500" activeTab="1" xr2:uid="{00000000-000D-0000-FFFF-FFFF00000000}"/>
  </bookViews>
  <sheets>
    <sheet name="Generator" sheetId="1" r:id="rId1"/>
    <sheet name="Response Output" sheetId="2" r:id="rId2"/>
  </sheets>
  <definedNames>
    <definedName name="_xlnm.Print_Area" localSheetId="1">'Response Output'!$A$1:$B$30</definedName>
  </definedNames>
  <calcPr calcId="191029"/>
</workbook>
</file>

<file path=xl/calcChain.xml><?xml version="1.0" encoding="utf-8"?>
<calcChain xmlns="http://schemas.openxmlformats.org/spreadsheetml/2006/main">
  <c r="B28" i="2" l="1"/>
  <c r="B27" i="2"/>
  <c r="B26" i="2"/>
  <c r="B25" i="2"/>
  <c r="B23" i="2"/>
  <c r="B21" i="2"/>
  <c r="B19" i="2"/>
  <c r="B18" i="2"/>
  <c r="B17" i="2"/>
  <c r="B15" i="2"/>
  <c r="B14" i="2"/>
  <c r="B12" i="2"/>
  <c r="B11" i="2"/>
  <c r="B9" i="2"/>
  <c r="B7" i="2"/>
  <c r="B4" i="2"/>
  <c r="B3" i="2"/>
</calcChain>
</file>

<file path=xl/sharedStrings.xml><?xml version="1.0" encoding="utf-8"?>
<sst xmlns="http://schemas.openxmlformats.org/spreadsheetml/2006/main" count="49" uniqueCount="44">
  <si>
    <t>BUYER RESPONSE GENERATOR</t>
  </si>
  <si>
    <t>HOW TO USE THIS TOOL</t>
  </si>
  <si>
    <t>YOUR DETAILS</t>
  </si>
  <si>
    <t>1. Fill in all the YELLOW cells on the left</t>
  </si>
  <si>
    <t>Company Name</t>
  </si>
  <si>
    <t>2. Use the dropdowns to select your data status</t>
  </si>
  <si>
    <t>Your Name</t>
  </si>
  <si>
    <t>3. Go to the 'Response Output' tab to see your generated response</t>
  </si>
  <si>
    <t>Your Title</t>
  </si>
  <si>
    <t>4. Print or export that tab as PDF to send to buyers</t>
  </si>
  <si>
    <t>Your Email</t>
  </si>
  <si>
    <t>Reporting Year</t>
  </si>
  <si>
    <t>HOW TO EXPORT AS PDF</t>
  </si>
  <si>
    <t>Excel: File → Print → Select 'Response Output' sheet → Save as PDF</t>
  </si>
  <si>
    <t>BUYER INFORMATION</t>
  </si>
  <si>
    <t>Google Sheets: File → Download → PDF → Select 'Response Output'</t>
  </si>
  <si>
    <t>Buyer/Customer Name</t>
  </si>
  <si>
    <t>Contact Person</t>
  </si>
  <si>
    <t>The Response Output tab is formatted for clean printing.</t>
  </si>
  <si>
    <t>YOUR DATA STATUS</t>
  </si>
  <si>
    <t>(Select status for each category)</t>
  </si>
  <si>
    <t>Carbon/GHG Emissions</t>
  </si>
  <si>
    <t>Energy Consumption</t>
  </si>
  <si>
    <t>Water Use</t>
  </si>
  <si>
    <t>Waste Management</t>
  </si>
  <si>
    <t>Certifications</t>
  </si>
  <si>
    <t>Policies (Env, Social, Governance)</t>
  </si>
  <si>
    <t>Supply Chain/Sourcing</t>
  </si>
  <si>
    <t>Labor &amp; Social Practices</t>
  </si>
  <si>
    <t>IMPROVEMENT TIMELINE</t>
  </si>
  <si>
    <t>Expected data completion</t>
  </si>
  <si>
    <t>Key improvement action</t>
  </si>
  <si>
    <t>© Ecosystems United 2025</t>
  </si>
  <si>
    <t>SUSTAINABILITY DATA RESPONSE</t>
  </si>
  <si>
    <t>────────────────────────────────────────────────────────────────────────────────</t>
  </si>
  <si>
    <t>A</t>
  </si>
  <si>
    <t>B</t>
  </si>
  <si>
    <t>C</t>
  </si>
  <si>
    <t>D</t>
  </si>
  <si>
    <t>Can provide complete data</t>
  </si>
  <si>
    <t>Can provide partial data</t>
  </si>
  <si>
    <t>Cannot provide yet</t>
  </si>
  <si>
    <t>within 6 months</t>
  </si>
  <si>
    <t>klj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</si>
</sst>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b/>
      <sz val="12"/>
      <color rgb="FF1F4E79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i/>
      <sz val="9"/>
      <color rgb="FF808080"/>
      <name val="Calibri"/>
      <family val="2"/>
    </font>
    <font>
      <b/>
      <sz val="14"/>
      <color rgb="FF1F4E79"/>
      <name val="Calibri"/>
      <family val="2"/>
    </font>
    <font>
      <b/>
      <sz val="12"/>
      <name val="Calibri"/>
      <family val="2"/>
    </font>
    <font>
      <sz val="10"/>
      <color rgb="FF666666"/>
      <name val="Calibri"/>
      <family val="2"/>
    </font>
    <font>
      <sz val="11"/>
      <color rgb="FFCCCCCC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5" fillId="2" borderId="0" xfId="0" applyFont="1" applyFill="1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0"/>
  <sheetViews>
    <sheetView workbookViewId="0">
      <selection activeCell="C27" sqref="C27"/>
    </sheetView>
  </sheetViews>
  <sheetFormatPr defaultRowHeight="14.4" x14ac:dyDescent="0.3"/>
  <cols>
    <col min="1" max="1" width="3" customWidth="1"/>
    <col min="2" max="2" width="35" customWidth="1"/>
    <col min="3" max="3" width="40" customWidth="1"/>
    <col min="4" max="4" width="5" customWidth="1"/>
    <col min="5" max="5" width="70" customWidth="1"/>
  </cols>
  <sheetData>
    <row r="1" spans="2:5" ht="21" x14ac:dyDescent="0.4">
      <c r="B1" s="17" t="s">
        <v>0</v>
      </c>
      <c r="C1" s="18"/>
      <c r="E1" s="1" t="s">
        <v>1</v>
      </c>
    </row>
    <row r="3" spans="2:5" x14ac:dyDescent="0.3">
      <c r="B3" s="2" t="s">
        <v>2</v>
      </c>
      <c r="C3" s="3"/>
      <c r="E3" t="s">
        <v>3</v>
      </c>
    </row>
    <row r="4" spans="2:5" x14ac:dyDescent="0.3">
      <c r="B4" s="4" t="s">
        <v>4</v>
      </c>
      <c r="C4" s="5" t="s">
        <v>35</v>
      </c>
      <c r="E4" t="s">
        <v>5</v>
      </c>
    </row>
    <row r="5" spans="2:5" x14ac:dyDescent="0.3">
      <c r="B5" s="4" t="s">
        <v>6</v>
      </c>
      <c r="C5" s="5" t="s">
        <v>36</v>
      </c>
      <c r="E5" t="s">
        <v>7</v>
      </c>
    </row>
    <row r="6" spans="2:5" x14ac:dyDescent="0.3">
      <c r="B6" s="4" t="s">
        <v>8</v>
      </c>
      <c r="C6" s="5" t="s">
        <v>37</v>
      </c>
      <c r="E6" t="s">
        <v>9</v>
      </c>
    </row>
    <row r="7" spans="2:5" x14ac:dyDescent="0.3">
      <c r="B7" s="4" t="s">
        <v>10</v>
      </c>
      <c r="C7" s="5" t="s">
        <v>38</v>
      </c>
    </row>
    <row r="8" spans="2:5" x14ac:dyDescent="0.3">
      <c r="B8" s="4" t="s">
        <v>11</v>
      </c>
      <c r="C8" s="5">
        <v>2026</v>
      </c>
      <c r="E8" s="6" t="s">
        <v>12</v>
      </c>
    </row>
    <row r="9" spans="2:5" x14ac:dyDescent="0.3">
      <c r="E9" t="s">
        <v>13</v>
      </c>
    </row>
    <row r="10" spans="2:5" x14ac:dyDescent="0.3">
      <c r="B10" s="2" t="s">
        <v>14</v>
      </c>
      <c r="C10" s="3"/>
      <c r="E10" t="s">
        <v>15</v>
      </c>
    </row>
    <row r="11" spans="2:5" x14ac:dyDescent="0.3">
      <c r="B11" s="4" t="s">
        <v>16</v>
      </c>
      <c r="C11" s="5">
        <v>1</v>
      </c>
    </row>
    <row r="12" spans="2:5" x14ac:dyDescent="0.3">
      <c r="B12" s="4" t="s">
        <v>17</v>
      </c>
      <c r="C12" s="5">
        <v>2</v>
      </c>
      <c r="E12" s="7" t="s">
        <v>18</v>
      </c>
    </row>
    <row r="14" spans="2:5" x14ac:dyDescent="0.3">
      <c r="B14" s="2" t="s">
        <v>19</v>
      </c>
      <c r="C14" s="3"/>
    </row>
    <row r="15" spans="2:5" x14ac:dyDescent="0.3">
      <c r="B15" s="8" t="s">
        <v>20</v>
      </c>
    </row>
    <row r="16" spans="2:5" x14ac:dyDescent="0.3">
      <c r="B16" s="4" t="s">
        <v>21</v>
      </c>
      <c r="C16" s="5" t="s">
        <v>39</v>
      </c>
    </row>
    <row r="17" spans="2:3" x14ac:dyDescent="0.3">
      <c r="B17" s="4" t="s">
        <v>22</v>
      </c>
      <c r="C17" s="5" t="s">
        <v>40</v>
      </c>
    </row>
    <row r="18" spans="2:3" x14ac:dyDescent="0.3">
      <c r="B18" s="4" t="s">
        <v>23</v>
      </c>
      <c r="C18" s="5" t="s">
        <v>41</v>
      </c>
    </row>
    <row r="19" spans="2:3" x14ac:dyDescent="0.3">
      <c r="B19" s="4" t="s">
        <v>24</v>
      </c>
      <c r="C19" s="5" t="s">
        <v>39</v>
      </c>
    </row>
    <row r="20" spans="2:3" x14ac:dyDescent="0.3">
      <c r="B20" s="4" t="s">
        <v>25</v>
      </c>
      <c r="C20" s="5" t="s">
        <v>39</v>
      </c>
    </row>
    <row r="21" spans="2:3" x14ac:dyDescent="0.3">
      <c r="B21" s="4" t="s">
        <v>26</v>
      </c>
      <c r="C21" s="5" t="s">
        <v>39</v>
      </c>
    </row>
    <row r="22" spans="2:3" x14ac:dyDescent="0.3">
      <c r="B22" s="4" t="s">
        <v>27</v>
      </c>
      <c r="C22" s="5" t="s">
        <v>40</v>
      </c>
    </row>
    <row r="23" spans="2:3" x14ac:dyDescent="0.3">
      <c r="B23" s="4" t="s">
        <v>28</v>
      </c>
      <c r="C23" s="5" t="s">
        <v>40</v>
      </c>
    </row>
    <row r="25" spans="2:3" x14ac:dyDescent="0.3">
      <c r="B25" s="2" t="s">
        <v>29</v>
      </c>
      <c r="C25" s="3"/>
    </row>
    <row r="26" spans="2:3" x14ac:dyDescent="0.3">
      <c r="B26" s="4" t="s">
        <v>30</v>
      </c>
      <c r="C26" s="5" t="s">
        <v>42</v>
      </c>
    </row>
    <row r="27" spans="2:3" x14ac:dyDescent="0.3">
      <c r="B27" s="4" t="s">
        <v>31</v>
      </c>
      <c r="C27" s="5" t="s">
        <v>43</v>
      </c>
    </row>
    <row r="30" spans="2:3" x14ac:dyDescent="0.3">
      <c r="B30" s="9" t="s">
        <v>32</v>
      </c>
    </row>
  </sheetData>
  <mergeCells count="1">
    <mergeCell ref="B1:C1"/>
  </mergeCells>
  <dataValidations count="2">
    <dataValidation type="list" allowBlank="1" sqref="C16 C17 C18 C19 C20 C21 C22 C23" xr:uid="{00000000-0002-0000-0000-000000000000}">
      <formula1>"Can provide complete data,Can provide partial data,Cannot provide yet,Not applicable"</formula1>
    </dataValidation>
    <dataValidation type="list" allowBlank="1" sqref="C26" xr:uid="{00000000-0002-0000-0000-000001000000}">
      <formula1>"within 30 days,within 3 months,within 6 months,within 12 months"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28"/>
  <sheetViews>
    <sheetView tabSelected="1" workbookViewId="0">
      <selection activeCell="B7" sqref="B7"/>
    </sheetView>
  </sheetViews>
  <sheetFormatPr defaultRowHeight="14.4" x14ac:dyDescent="0.3"/>
  <cols>
    <col min="1" max="1" width="5" customWidth="1"/>
    <col min="2" max="2" width="100" customWidth="1"/>
  </cols>
  <sheetData>
    <row r="2" spans="2:2" ht="18" x14ac:dyDescent="0.35">
      <c r="B2" s="10" t="s">
        <v>33</v>
      </c>
    </row>
    <row r="3" spans="2:2" ht="15.6" x14ac:dyDescent="0.3">
      <c r="B3" s="11" t="str">
        <f>IFERROR(IF(Generator!C4="","",Generator!C4),"")</f>
        <v>A</v>
      </c>
    </row>
    <row r="4" spans="2:2" x14ac:dyDescent="0.3">
      <c r="B4" s="12" t="str">
        <f ca="1">IFERROR(TEXT(TODAY(),"MMMM D, YYYY"),"")</f>
        <v>January 23, 2026</v>
      </c>
    </row>
    <row r="5" spans="2:2" x14ac:dyDescent="0.3">
      <c r="B5" s="13" t="s">
        <v>34</v>
      </c>
    </row>
    <row r="7" spans="2:2" x14ac:dyDescent="0.3">
      <c r="B7" t="str">
        <f>IFERROR(IF(Generator!C12&lt;&gt;"","Dear "&amp;Generator!C12&amp;",","Dear Sustainability Team,"),"")</f>
        <v>Dear 2,</v>
      </c>
    </row>
    <row r="9" spans="2:2" x14ac:dyDescent="0.3">
      <c r="B9" s="14" t="str">
        <f>IFERROR(IF(Generator!C4="","","Thank you for your sustainability data request. We are pleased to provide information about "&amp;Generator!C4&amp;"'s sustainability practices and data availability for "&amp;Generator!C8&amp;"."),"")</f>
        <v>Thank you for your sustainability data request. We are pleased to provide information about A's sustainability practices and data availability for 2026.</v>
      </c>
    </row>
    <row r="11" spans="2:2" x14ac:dyDescent="0.3">
      <c r="B11" s="15" t="str">
        <f>IFERROR(IF(COUNTIF(Generator!C16:C23,"Can provide*")&gt;0,"DATA WE CAN CURRENTLY PROVIDE",""),"")</f>
        <v>DATA WE CAN CURRENTLY PROVIDE</v>
      </c>
    </row>
    <row r="12" spans="2:2" ht="120" customHeight="1" x14ac:dyDescent="0.3">
      <c r="B12" s="16" t="str">
        <f>IFERROR(IF(OR(Generator!C16="Can provide complete data",Generator!C16="Can provide partial data"),"• "&amp;Generator!B16&amp;" ("&amp;Generator!C16&amp;")"&amp;CHAR(10),"")&amp;IF(OR(Generator!C17="Can provide complete data",Generator!C17="Can provide partial data"),"• "&amp;Generator!B17&amp;" ("&amp;Generator!C17&amp;")"&amp;CHAR(10),"")&amp;IF(OR(Generator!C18="Can provide complete data",Generator!C18="Can provide partial data"),"• "&amp;Generator!B18&amp;" ("&amp;Generator!C18&amp;")"&amp;CHAR(10),"")&amp;IF(OR(Generator!C19="Can provide complete data",Generator!C19="Can provide partial data"),"• "&amp;Generator!B19&amp;" ("&amp;Generator!C19&amp;")"&amp;CHAR(10),"")&amp;IF(OR(Generator!C20="Can provide complete data",Generator!C20="Can provide partial data"),"• "&amp;Generator!B20&amp;" ("&amp;Generator!C20&amp;")"&amp;CHAR(10),"")&amp;IF(OR(Generator!C21="Can provide complete data",Generator!C21="Can provide partial data"),"• "&amp;Generator!B21&amp;" ("&amp;Generator!C21&amp;")"&amp;CHAR(10),"")&amp;IF(OR(Generator!C22="Can provide complete data",Generator!C22="Can provide partial data"),"• "&amp;Generator!B22&amp;" ("&amp;Generator!C22&amp;")"&amp;CHAR(10),"")&amp;IF(OR(Generator!C23="Can provide complete data",Generator!C23="Can provide partial data"),"• "&amp;Generator!B23&amp;" ("&amp;Generator!C23&amp;")"&amp;CHAR(10),""),"")</f>
        <v xml:space="preserve">• Carbon/GHG Emissions (Can provide complete data)
• Energy Consumption (Can provide partial data)
• Waste Management (Can provide complete data)
• Certifications (Can provide complete data)
• Policies (Env, Social, Governance) (Can provide complete data)
• Supply Chain/Sourcing (Can provide partial data)
• Labor &amp; Social Practices (Can provide partial data)
</v>
      </c>
    </row>
    <row r="14" spans="2:2" x14ac:dyDescent="0.3">
      <c r="B14" s="15" t="str">
        <f>IFERROR(IF(COUNTIF(Generator!C16:C23,"Cannot provide yet")&gt;0,"DATA IN DEVELOPMENT",""),"")</f>
        <v>DATA IN DEVELOPMENT</v>
      </c>
    </row>
    <row r="15" spans="2:2" ht="79.95" customHeight="1" x14ac:dyDescent="0.3">
      <c r="B15" s="16" t="str">
        <f>IFERROR(IF(Generator!C16="Cannot provide yet","• "&amp;Generator!B16&amp;CHAR(10),"")&amp;IF(Generator!C17="Cannot provide yet","• "&amp;Generator!B17&amp;CHAR(10),"")&amp;IF(Generator!C18="Cannot provide yet","• "&amp;Generator!B18&amp;CHAR(10),"")&amp;IF(Generator!C19="Cannot provide yet","• "&amp;Generator!B19&amp;CHAR(10),"")&amp;IF(Generator!C20="Cannot provide yet","• "&amp;Generator!B20&amp;CHAR(10),"")&amp;IF(Generator!C21="Cannot provide yet","• "&amp;Generator!B21&amp;CHAR(10),"")&amp;IF(Generator!C22="Cannot provide yet","• "&amp;Generator!B22&amp;CHAR(10),"")&amp;IF(Generator!C23="Cannot provide yet","• "&amp;Generator!B23&amp;CHAR(10),""),"")</f>
        <v xml:space="preserve">• Water Use
</v>
      </c>
    </row>
    <row r="17" spans="2:2" x14ac:dyDescent="0.3">
      <c r="B17" s="15" t="str">
        <f>IFERROR(IF(AND(Generator!C26&lt;&gt;"",COUNTIF(Generator!C16:C23,"Cannot provide yet")&gt;0),"IMPROVEMENT TIMELINE",""),"")</f>
        <v>IMPROVEMENT TIMELINE</v>
      </c>
    </row>
    <row r="18" spans="2:2" x14ac:dyDescent="0.3">
      <c r="B18" s="14" t="str">
        <f>IFERROR(IF(AND(Generator!C26&lt;&gt;"",COUNTIF(Generator!C16:C23,"Cannot provide yet")&gt;0),"We expect to have complete data for the above items "&amp;Generator!C26&amp;".",""),"")</f>
        <v>We expect to have complete data for the above items within 6 months.</v>
      </c>
    </row>
    <row r="19" spans="2:2" x14ac:dyDescent="0.3">
      <c r="B19" s="14" t="str">
        <f>IFERROR(IF(Generator!C27&lt;&gt;"","Key action: "&amp;Generator!C27,""),"")</f>
        <v>Key action: klj</v>
      </c>
    </row>
    <row r="21" spans="2:2" ht="28.8" x14ac:dyDescent="0.3">
      <c r="B21" s="14" t="str">
        <f>IFERROR(IF(Generator!C4&lt;&gt;"","We are committed to continuous improvement in our sustainability practices and data transparency. Please let us know if you have questions or require additional information.",""),"")</f>
        <v>We are committed to continuous improvement in our sustainability practices and data transparency. Please let us know if you have questions or require additional information.</v>
      </c>
    </row>
    <row r="23" spans="2:2" x14ac:dyDescent="0.3">
      <c r="B23" t="str">
        <f>IFERROR(IF(Generator!C4&lt;&gt;"","Best regards,",""),"")</f>
        <v>Best regards,</v>
      </c>
    </row>
    <row r="25" spans="2:2" x14ac:dyDescent="0.3">
      <c r="B25" s="6" t="str">
        <f>IFERROR(IF(Generator!C5&lt;&gt;"",Generator!C5,""),"")</f>
        <v>B</v>
      </c>
    </row>
    <row r="26" spans="2:2" x14ac:dyDescent="0.3">
      <c r="B26" t="str">
        <f>IFERROR(IF(Generator!C6&lt;&gt;"",Generator!C6,""),"")</f>
        <v>C</v>
      </c>
    </row>
    <row r="27" spans="2:2" x14ac:dyDescent="0.3">
      <c r="B27" t="str">
        <f>IFERROR(IF(Generator!C4&lt;&gt;"",Generator!C4,""),"")</f>
        <v>A</v>
      </c>
    </row>
    <row r="28" spans="2:2" x14ac:dyDescent="0.3">
      <c r="B28" t="str">
        <f>IFERROR(IF(Generator!C7&lt;&gt;"",Generator!C7,""),"")</f>
        <v>D</v>
      </c>
    </row>
  </sheetData>
  <pageMargins left="0.75" right="0.75" top="0.75" bottom="0.75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Generator</vt:lpstr>
      <vt:lpstr>Response Output</vt:lpstr>
      <vt:lpstr>'Response Output'!Print_Area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2026-01-22T21:31:50Z</dcterms:created>
  <dcterms:modified xsi:type="dcterms:W3CDTF">2026-01-23T14:33:29Z</dcterms:modified>
</cp:coreProperties>
</file>