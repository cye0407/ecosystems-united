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essment" sheetId="2" state="visible" r:id="rId2"/>
    <sheet xmlns:r="http://schemas.openxmlformats.org/officeDocument/2006/relationships" name="Results" sheetId="3" state="visible" r:id="rId3"/>
    <sheet xmlns:r="http://schemas.openxmlformats.org/officeDocument/2006/relationships" name="Gap Analysis" sheetId="4" state="visible" r:id="rId4"/>
    <sheet xmlns:r="http://schemas.openxmlformats.org/officeDocument/2006/relationships" name="Config" sheetId="5" state="hidden" r:id="rId5"/>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1F4E79"/>
      <sz val="16"/>
    </font>
    <font>
      <b val="1"/>
      <sz val="11"/>
    </font>
    <font>
      <b val="1"/>
      <color rgb="001F4E79"/>
      <sz val="14"/>
    </font>
    <font>
      <i val="1"/>
      <sz val="10"/>
    </font>
    <font>
      <b val="1"/>
      <color rgb="00FFFFFF"/>
      <sz val="10"/>
    </font>
    <font>
      <i val="1"/>
      <sz val="9"/>
    </font>
    <font>
      <b val="1"/>
    </font>
    <font>
      <b val="1"/>
      <sz val="12"/>
    </font>
    <font>
      <b val="1"/>
      <sz val="14"/>
    </font>
    <font>
      <b val="1"/>
      <color rgb="001F4E79"/>
      <sz val="24"/>
    </font>
    <font>
      <i val="1"/>
    </font>
  </fonts>
  <fills count="6">
    <fill>
      <patternFill/>
    </fill>
    <fill>
      <patternFill patternType="gray125"/>
    </fill>
    <fill>
      <patternFill patternType="solid">
        <fgColor rgb="002E75B6"/>
        <bgColor rgb="002E75B6"/>
      </patternFill>
    </fill>
    <fill>
      <patternFill patternType="solid">
        <fgColor rgb="00D9E2F3"/>
        <bgColor rgb="00D9E2F3"/>
      </patternFill>
    </fill>
    <fill>
      <patternFill patternType="solid">
        <fgColor rgb="00FFFF99"/>
        <bgColor rgb="00FFFF99"/>
      </patternFill>
    </fill>
    <fill>
      <patternFill patternType="solid">
        <fgColor rgb="00E6F2FF"/>
        <bgColor rgb="00E6F2FF"/>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wrapText="1"/>
    </xf>
    <xf numFmtId="0" fontId="6" fillId="0" borderId="0" applyAlignment="1" pivotButton="0" quotePrefix="0" xfId="0">
      <alignment horizontal="center" wrapText="1"/>
    </xf>
    <xf numFmtId="0" fontId="7" fillId="3" borderId="1" pivotButton="0" quotePrefix="0" xfId="0"/>
    <xf numFmtId="0" fontId="0" fillId="0" borderId="1" pivotButton="0" quotePrefix="0" xfId="0"/>
    <xf numFmtId="0" fontId="0" fillId="4" borderId="1" pivotButton="0" quotePrefix="0" xfId="0"/>
    <xf numFmtId="0" fontId="0" fillId="5" borderId="1" pivotButton="0" quotePrefix="0" xfId="0"/>
    <xf numFmtId="164" fontId="0" fillId="5" borderId="1" pivotButton="0" quotePrefix="0" xfId="0"/>
    <xf numFmtId="0" fontId="8" fillId="0" borderId="0" pivotButton="0" quotePrefix="0" xfId="0"/>
    <xf numFmtId="164" fontId="0" fillId="0" borderId="0" pivotButton="0" quotePrefix="0" xfId="0"/>
    <xf numFmtId="0" fontId="7" fillId="0" borderId="0" pivotButton="0" quotePrefix="0" xfId="0"/>
    <xf numFmtId="9" fontId="9" fillId="0" borderId="0" pivotButton="0" quotePrefix="0" xfId="0"/>
    <xf numFmtId="9" fontId="10" fillId="0" borderId="0" pivotButton="0" quotePrefix="0" xfId="0"/>
    <xf numFmtId="0" fontId="5" fillId="2" borderId="1" pivotButton="0" quotePrefix="0" xfId="0"/>
    <xf numFmtId="9" fontId="0"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8"/>
  <sheetViews>
    <sheetView workbookViewId="0">
      <selection activeCell="A1" sqref="A1"/>
    </sheetView>
  </sheetViews>
  <sheetFormatPr baseColWidth="8" defaultRowHeight="15"/>
  <cols>
    <col width="85" customWidth="1" min="2" max="2"/>
  </cols>
  <sheetData>
    <row r="1">
      <c r="B1" t="inlineStr"/>
    </row>
    <row r="2">
      <c r="B2" s="1" t="inlineStr">
        <is>
          <t>SUSTAINABILITY DATA READINESS SCORECARD</t>
        </is>
      </c>
    </row>
    <row r="3">
      <c r="B3" t="inlineStr"/>
    </row>
    <row r="4">
      <c r="B4" s="2" t="inlineStr">
        <is>
          <t>WHAT THIS TOOL DOES</t>
        </is>
      </c>
    </row>
    <row r="5">
      <c r="B5" t="inlineStr">
        <is>
          <t>This scorecard evaluates your capability to respond to buyer sustainability</t>
        </is>
      </c>
    </row>
    <row r="6">
      <c r="B6" t="inlineStr">
        <is>
          <t>data requests across 12 common requirement categories. You'll get:</t>
        </is>
      </c>
    </row>
    <row r="7">
      <c r="B7" t="inlineStr"/>
    </row>
    <row r="8">
      <c r="B8" t="inlineStr">
        <is>
          <t xml:space="preserve">  • Overall readiness score (0-100%)</t>
        </is>
      </c>
    </row>
    <row r="9">
      <c r="B9" t="inlineStr">
        <is>
          <t xml:space="preserve">  • Category-by-category breakdown</t>
        </is>
      </c>
    </row>
    <row r="10">
      <c r="B10" t="inlineStr">
        <is>
          <t xml:space="preserve">  • Auto-calculated response readiness for each item</t>
        </is>
      </c>
    </row>
    <row r="11">
      <c r="B11" t="inlineStr"/>
    </row>
    <row r="12">
      <c r="B12" s="2" t="inlineStr">
        <is>
          <t>HOW TO COMPLETE THE ASSESSMENT</t>
        </is>
      </c>
    </row>
    <row r="13">
      <c r="B13" t="inlineStr"/>
    </row>
    <row r="14">
      <c r="B14" t="inlineStr">
        <is>
          <t>Step 1: Go to the 'Assessment' tab</t>
        </is>
      </c>
    </row>
    <row r="15">
      <c r="B15" t="inlineStr"/>
    </row>
    <row r="16">
      <c r="B16" t="inlineStr">
        <is>
          <t>Step 2: For each item, answer THREE questions:</t>
        </is>
      </c>
    </row>
    <row r="17">
      <c r="B17" t="inlineStr"/>
    </row>
    <row r="18">
      <c r="B18" s="2" t="inlineStr">
        <is>
          <t xml:space="preserve">   DATA CONFIDENCE - How confident are you in this data?</t>
        </is>
      </c>
    </row>
    <row r="19">
      <c r="B19" t="inlineStr">
        <is>
          <t xml:space="preserve">      0 = No data (can't provide anything)</t>
        </is>
      </c>
    </row>
    <row r="20">
      <c r="B20" t="inlineStr">
        <is>
          <t xml:space="preserve">      1 = Rough guess (estimates, not actual data)</t>
        </is>
      </c>
    </row>
    <row r="21">
      <c r="B21" t="inlineStr">
        <is>
          <t xml:space="preserve">      2 = Partial data (some real data, gaps filled with estimates)</t>
        </is>
      </c>
    </row>
    <row r="22">
      <c r="B22" t="inlineStr">
        <is>
          <t xml:space="preserve">      3 = Complete, unverified (all data collected, not yet checked)</t>
        </is>
      </c>
    </row>
    <row r="23">
      <c r="B23" t="inlineStr">
        <is>
          <t xml:space="preserve">      4 = Complete, internally verified (data checked internally)</t>
        </is>
      </c>
    </row>
    <row r="24">
      <c r="B24" t="inlineStr">
        <is>
          <t xml:space="preserve">      5 = Complete, third-party verified (externally audited/certified)</t>
        </is>
      </c>
    </row>
    <row r="25">
      <c r="B25" t="inlineStr"/>
    </row>
    <row r="26">
      <c r="B26" s="2" t="inlineStr">
        <is>
          <t xml:space="preserve">   METHODOLOGY DOCUMENTED - Do you have documentation explaining</t>
        </is>
      </c>
    </row>
    <row r="27">
      <c r="B27" t="inlineStr">
        <is>
          <t xml:space="preserve">      HOW you calculate or measure this?</t>
        </is>
      </c>
    </row>
    <row r="28">
      <c r="B28" t="inlineStr"/>
    </row>
    <row r="29">
      <c r="B29" s="2" t="inlineStr">
        <is>
          <t xml:space="preserve">   SOURCE RECORDS AVAILABLE - Do you have the underlying records</t>
        </is>
      </c>
    </row>
    <row r="30">
      <c r="B30" t="inlineStr">
        <is>
          <t xml:space="preserve">      (invoices, meter readings, logs) to back it up?</t>
        </is>
      </c>
    </row>
    <row r="31">
      <c r="B31" t="inlineStr"/>
    </row>
    <row r="32">
      <c r="B32" t="inlineStr">
        <is>
          <t>Step 3: The 'Response Ready' column auto-calculates based on your inputs</t>
        </is>
      </c>
    </row>
    <row r="33">
      <c r="B33" t="inlineStr"/>
    </row>
    <row r="34">
      <c r="B34" t="inlineStr">
        <is>
          <t>Step 4: Review your results on the 'Results' tab</t>
        </is>
      </c>
    </row>
    <row r="35">
      <c r="B35" t="inlineStr"/>
    </row>
    <row r="36">
      <c r="B36" t="inlineStr">
        <is>
          <t>Yellow cells = your input required</t>
        </is>
      </c>
    </row>
    <row r="37">
      <c r="B37" t="inlineStr">
        <is>
          <t>Blue cells = auto-calculated</t>
        </is>
      </c>
    </row>
    <row r="38">
      <c r="B38" t="inlineStr"/>
    </row>
    <row r="39">
      <c r="B39" s="2" t="inlineStr">
        <is>
          <t>UNDERSTANDING YOUR RESULTS</t>
        </is>
      </c>
    </row>
    <row r="40">
      <c r="B40" t="inlineStr"/>
    </row>
    <row r="41">
      <c r="B41" t="inlineStr">
        <is>
          <t xml:space="preserve">  80-100%  = Well prepared for buyer requests</t>
        </is>
      </c>
    </row>
    <row r="42">
      <c r="B42" t="inlineStr">
        <is>
          <t xml:space="preserve">  60-79%   = Moderate readiness, key gaps exist</t>
        </is>
      </c>
    </row>
    <row r="43">
      <c r="B43" t="inlineStr">
        <is>
          <t xml:space="preserve">  40-59%   = Significant gaps, prioritize improvement</t>
        </is>
      </c>
    </row>
    <row r="44">
      <c r="B44" t="inlineStr">
        <is>
          <t xml:space="preserve">  0-39%    = Major capability building needed</t>
        </is>
      </c>
    </row>
    <row r="45">
      <c r="B45" t="inlineStr"/>
    </row>
    <row r="46">
      <c r="B46" t="inlineStr">
        <is>
          <t>Time Required: 1-2 hours for thorough assessment</t>
        </is>
      </c>
    </row>
    <row r="47">
      <c r="B47" t="inlineStr"/>
    </row>
    <row r="48">
      <c r="B48" t="inlineStr">
        <is>
          <t>© Ecosystems United 2025 | All Rights Reserved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40" customWidth="1" min="2" max="2"/>
    <col width="30" customWidth="1" min="3" max="3"/>
    <col width="18" customWidth="1" min="4" max="4"/>
    <col width="18" customWidth="1" min="5" max="5"/>
    <col width="15" customWidth="1" min="6" max="6"/>
    <col width="12" customWidth="1" min="7" max="7"/>
  </cols>
  <sheetData>
    <row r="1">
      <c r="B1" s="3" t="inlineStr">
        <is>
          <t>SUSTAINABILITY DATA READINESS ASSESSMENT</t>
        </is>
      </c>
    </row>
    <row r="2">
      <c r="B2" s="4" t="inlineStr">
        <is>
          <t>Complete all 12 categories below using the dropdown menus</t>
        </is>
      </c>
    </row>
    <row r="4">
      <c r="A4" s="5" t="inlineStr"/>
      <c r="B4" s="5" t="inlineStr">
        <is>
          <t>Category / Sub-requirement</t>
        </is>
      </c>
      <c r="C4" s="5" t="inlineStr">
        <is>
          <t>Data Confidence</t>
        </is>
      </c>
      <c r="D4" s="5" t="inlineStr">
        <is>
          <t>Methodology Documented?</t>
        </is>
      </c>
      <c r="E4" s="5" t="inlineStr">
        <is>
          <t>Source Records Available?</t>
        </is>
      </c>
      <c r="F4" s="5" t="inlineStr">
        <is>
          <t>Response Ready</t>
        </is>
      </c>
      <c r="G4" s="5" t="inlineStr">
        <is>
          <t>Score</t>
        </is>
      </c>
    </row>
    <row r="5">
      <c r="C5" s="6" t="inlineStr">
        <is>
          <t>How confident are you in this data?</t>
        </is>
      </c>
      <c r="D5" s="6" t="inlineStr">
        <is>
          <t>Do you have docs explaining HOW you measure this?</t>
        </is>
      </c>
      <c r="E5" s="6" t="inlineStr">
        <is>
          <t>Do you have the underlying records?</t>
        </is>
      </c>
      <c r="F5" s="6" t="inlineStr">
        <is>
          <t>(Auto-calculated)</t>
        </is>
      </c>
    </row>
    <row r="7">
      <c r="B7" s="7" t="inlineStr">
        <is>
          <t>1. CARBON FOOTPRINT DATA</t>
        </is>
      </c>
      <c r="C7" s="8" t="n"/>
      <c r="D7" s="8" t="n"/>
      <c r="E7" s="8" t="n"/>
      <c r="F7" s="8" t="n"/>
      <c r="G7" s="8" t="n"/>
    </row>
    <row r="8">
      <c r="B8" s="8" t="inlineStr">
        <is>
          <t>Scope 1 emissions (direct operational)</t>
        </is>
      </c>
      <c r="C8" s="9" t="n"/>
      <c r="D8" s="9" t="n"/>
      <c r="E8" s="9" t="n"/>
      <c r="F8" s="10">
        <f>IF(OR(C8="",C8="N/A"),"",
IF(AND(VALUE(LEFT(C8,1))&gt;=3,D8="Yes",E8="Yes"),"✓ Ready",
IF(AND(VALUE(LEFT(C8,1))&gt;=3,OR(D8="Yes",E8="Yes")),"⚠ Likely",
IF(AND(VALUE(LEFT(C8,1))&gt;=2,D8="Yes",E8="Yes"),"⚠ Partial",
IF(OR(VALUE(LEFT(C8,1))&lt;=1,AND(D8="No",E8="No")),"✗ Not Ready","⚠ Weak")))))</f>
        <v/>
      </c>
      <c r="G8" s="11">
        <f>IF(OR(C8="",C8="N/A"),"",
VALUE(LEFT(C8,1))*(IF(D8="Yes",0.5,IF(D8="Partial",0.25,0))+IF(E8="Yes",0.5,IF(E8="Partial",0.25,0))))</f>
        <v/>
      </c>
    </row>
    <row r="9">
      <c r="B9" s="8" t="inlineStr">
        <is>
          <t>Scope 2 emissions (purchased electricity/energy)</t>
        </is>
      </c>
      <c r="C9" s="9" t="n"/>
      <c r="D9" s="9" t="n"/>
      <c r="E9" s="9" t="n"/>
      <c r="F9" s="10">
        <f>IF(OR(C9="",C9="N/A"),"",
IF(AND(VALUE(LEFT(C9,1))&gt;=3,D9="Yes",E9="Yes"),"✓ Ready",
IF(AND(VALUE(LEFT(C9,1))&gt;=3,OR(D9="Yes",E9="Yes")),"⚠ Likely",
IF(AND(VALUE(LEFT(C9,1))&gt;=2,D9="Yes",E9="Yes"),"⚠ Partial",
IF(OR(VALUE(LEFT(C9,1))&lt;=1,AND(D9="No",E9="No")),"✗ Not Ready","⚠ Weak")))))</f>
        <v/>
      </c>
      <c r="G9" s="11">
        <f>IF(OR(C9="",C9="N/A"),"",
VALUE(LEFT(C9,1))*(IF(D9="Yes",0.5,IF(D9="Partial",0.25,0))+IF(E9="Yes",0.5,IF(E9="Partial",0.25,0))))</f>
        <v/>
      </c>
    </row>
    <row r="10">
      <c r="B10" s="8" t="inlineStr">
        <is>
          <t>Scope 3 upstream (if tracked)</t>
        </is>
      </c>
      <c r="C10" s="9" t="n"/>
      <c r="D10" s="9" t="n"/>
      <c r="E10" s="9" t="n"/>
      <c r="F10" s="10">
        <f>IF(OR(C10="",C10="N/A"),"",
IF(AND(VALUE(LEFT(C10,1))&gt;=3,D10="Yes",E10="Yes"),"✓ Ready",
IF(AND(VALUE(LEFT(C10,1))&gt;=3,OR(D10="Yes",E10="Yes")),"⚠ Likely",
IF(AND(VALUE(LEFT(C10,1))&gt;=2,D10="Yes",E10="Yes"),"⚠ Partial",
IF(OR(VALUE(LEFT(C10,1))&lt;=1,AND(D10="No",E10="No")),"✗ Not Ready","⚠ Weak")))))</f>
        <v/>
      </c>
      <c r="G10" s="11">
        <f>IF(OR(C10="",C10="N/A"),"",
VALUE(LEFT(C10,1))*(IF(D10="Yes",0.5,IF(D10="Partial",0.25,0))+IF(E10="Yes",0.5,IF(E10="Partial",0.25,0))))</f>
        <v/>
      </c>
    </row>
    <row r="11">
      <c r="B11" s="8" t="inlineStr">
        <is>
          <t>Emission calculation methodology</t>
        </is>
      </c>
      <c r="C11" s="9" t="n"/>
      <c r="D11" s="9" t="n"/>
      <c r="E11" s="9" t="n"/>
      <c r="F11" s="10">
        <f>IF(OR(C11="",C11="N/A"),"",
IF(AND(VALUE(LEFT(C11,1))&gt;=3,D11="Yes",E11="Yes"),"✓ Ready",
IF(AND(VALUE(LEFT(C11,1))&gt;=3,OR(D11="Yes",E11="Yes")),"⚠ Likely",
IF(AND(VALUE(LEFT(C11,1))&gt;=2,D11="Yes",E11="Yes"),"⚠ Partial",
IF(OR(VALUE(LEFT(C11,1))&lt;=1,AND(D11="No",E11="No")),"✗ Not Ready","⚠ Weak")))))</f>
        <v/>
      </c>
      <c r="G11" s="11">
        <f>IF(OR(C11="",C11="N/A"),"",
VALUE(LEFT(C11,1))*(IF(D11="Yes",0.5,IF(D11="Partial",0.25,0))+IF(E11="Yes",0.5,IF(E11="Partial",0.25,0))))</f>
        <v/>
      </c>
    </row>
    <row r="12">
      <c r="B12" s="7" t="inlineStr">
        <is>
          <t>2. ENERGY CONSUMPTION</t>
        </is>
      </c>
      <c r="C12" s="8" t="n"/>
      <c r="D12" s="8" t="n"/>
      <c r="E12" s="8" t="n"/>
      <c r="F12" s="8" t="n"/>
      <c r="G12" s="8" t="n"/>
    </row>
    <row r="13">
      <c r="B13" s="8" t="inlineStr">
        <is>
          <t>Total energy use by source (electricity, fuel)</t>
        </is>
      </c>
      <c r="C13" s="9" t="n"/>
      <c r="D13" s="9" t="n"/>
      <c r="E13" s="9" t="n"/>
      <c r="F13" s="10">
        <f>IF(OR(C13="",C13="N/A"),"",
IF(AND(VALUE(LEFT(C13,1))&gt;=3,D13="Yes",E13="Yes"),"✓ Ready",
IF(AND(VALUE(LEFT(C13,1))&gt;=3,OR(D13="Yes",E13="Yes")),"⚠ Likely",
IF(AND(VALUE(LEFT(C13,1))&gt;=2,D13="Yes",E13="Yes"),"⚠ Partial",
IF(OR(VALUE(LEFT(C13,1))&lt;=1,AND(D13="No",E13="No")),"✗ Not Ready","⚠ Weak")))))</f>
        <v/>
      </c>
      <c r="G13" s="11">
        <f>IF(OR(C13="",C13="N/A"),"",
VALUE(LEFT(C13,1))*(IF(D13="Yes",0.5,IF(D13="Partial",0.25,0))+IF(E13="Yes",0.5,IF(E13="Partial",0.25,0))))</f>
        <v/>
      </c>
    </row>
    <row r="14">
      <c r="B14" s="8" t="inlineStr">
        <is>
          <t>Renewable vs non-renewable breakdown</t>
        </is>
      </c>
      <c r="C14" s="9" t="n"/>
      <c r="D14" s="9" t="n"/>
      <c r="E14" s="9" t="n"/>
      <c r="F14" s="10">
        <f>IF(OR(C14="",C14="N/A"),"",
IF(AND(VALUE(LEFT(C14,1))&gt;=3,D14="Yes",E14="Yes"),"✓ Ready",
IF(AND(VALUE(LEFT(C14,1))&gt;=3,OR(D14="Yes",E14="Yes")),"⚠ Likely",
IF(AND(VALUE(LEFT(C14,1))&gt;=2,D14="Yes",E14="Yes"),"⚠ Partial",
IF(OR(VALUE(LEFT(C14,1))&lt;=1,AND(D14="No",E14="No")),"✗ Not Ready","⚠ Weak")))))</f>
        <v/>
      </c>
      <c r="G14" s="11">
        <f>IF(OR(C14="",C14="N/A"),"",
VALUE(LEFT(C14,1))*(IF(D14="Yes",0.5,IF(D14="Partial",0.25,0))+IF(E14="Yes",0.5,IF(E14="Partial",0.25,0))))</f>
        <v/>
      </c>
    </row>
    <row r="15">
      <c r="B15" s="8" t="inlineStr">
        <is>
          <t>Energy intensity metrics (per unit output)</t>
        </is>
      </c>
      <c r="C15" s="9" t="n"/>
      <c r="D15" s="9" t="n"/>
      <c r="E15" s="9" t="n"/>
      <c r="F15" s="10">
        <f>IF(OR(C15="",C15="N/A"),"",
IF(AND(VALUE(LEFT(C15,1))&gt;=3,D15="Yes",E15="Yes"),"✓ Ready",
IF(AND(VALUE(LEFT(C15,1))&gt;=3,OR(D15="Yes",E15="Yes")),"⚠ Likely",
IF(AND(VALUE(LEFT(C15,1))&gt;=2,D15="Yes",E15="Yes"),"⚠ Partial",
IF(OR(VALUE(LEFT(C15,1))&lt;=1,AND(D15="No",E15="No")),"✗ Not Ready","⚠ Weak")))))</f>
        <v/>
      </c>
      <c r="G15" s="11">
        <f>IF(OR(C15="",C15="N/A"),"",
VALUE(LEFT(C15,1))*(IF(D15="Yes",0.5,IF(D15="Partial",0.25,0))+IF(E15="Yes",0.5,IF(E15="Partial",0.25,0))))</f>
        <v/>
      </c>
    </row>
    <row r="16">
      <c r="B16" s="8" t="inlineStr">
        <is>
          <t>Historical trend data (12+ months)</t>
        </is>
      </c>
      <c r="C16" s="9" t="n"/>
      <c r="D16" s="9" t="n"/>
      <c r="E16" s="9" t="n"/>
      <c r="F16" s="10">
        <f>IF(OR(C16="",C16="N/A"),"",
IF(AND(VALUE(LEFT(C16,1))&gt;=3,D16="Yes",E16="Yes"),"✓ Ready",
IF(AND(VALUE(LEFT(C16,1))&gt;=3,OR(D16="Yes",E16="Yes")),"⚠ Likely",
IF(AND(VALUE(LEFT(C16,1))&gt;=2,D16="Yes",E16="Yes"),"⚠ Partial",
IF(OR(VALUE(LEFT(C16,1))&lt;=1,AND(D16="No",E16="No")),"✗ Not Ready","⚠ Weak")))))</f>
        <v/>
      </c>
      <c r="G16" s="11">
        <f>IF(OR(C16="",C16="N/A"),"",
VALUE(LEFT(C16,1))*(IF(D16="Yes",0.5,IF(D16="Partial",0.25,0))+IF(E16="Yes",0.5,IF(E16="Partial",0.25,0))))</f>
        <v/>
      </c>
    </row>
    <row r="17">
      <c r="B17" s="7" t="inlineStr">
        <is>
          <t>3. WATER USE</t>
        </is>
      </c>
      <c r="C17" s="8" t="n"/>
      <c r="D17" s="8" t="n"/>
      <c r="E17" s="8" t="n"/>
      <c r="F17" s="8" t="n"/>
      <c r="G17" s="8" t="n"/>
    </row>
    <row r="18">
      <c r="B18" s="8" t="inlineStr">
        <is>
          <t>Water consumption by source</t>
        </is>
      </c>
      <c r="C18" s="9" t="n"/>
      <c r="D18" s="9" t="n"/>
      <c r="E18" s="9" t="n"/>
      <c r="F18" s="10">
        <f>IF(OR(C18="",C18="N/A"),"",
IF(AND(VALUE(LEFT(C18,1))&gt;=3,D18="Yes",E18="Yes"),"✓ Ready",
IF(AND(VALUE(LEFT(C18,1))&gt;=3,OR(D18="Yes",E18="Yes")),"⚠ Likely",
IF(AND(VALUE(LEFT(C18,1))&gt;=2,D18="Yes",E18="Yes"),"⚠ Partial",
IF(OR(VALUE(LEFT(C18,1))&lt;=1,AND(D18="No",E18="No")),"✗ Not Ready","⚠ Weak")))))</f>
        <v/>
      </c>
      <c r="G18" s="11">
        <f>IF(OR(C18="",C18="N/A"),"",
VALUE(LEFT(C18,1))*(IF(D18="Yes",0.5,IF(D18="Partial",0.25,0))+IF(E18="Yes",0.5,IF(E18="Partial",0.25,0))))</f>
        <v/>
      </c>
    </row>
    <row r="19">
      <c r="B19" s="8" t="inlineStr">
        <is>
          <t>Process-level allocation</t>
        </is>
      </c>
      <c r="C19" s="9" t="n"/>
      <c r="D19" s="9" t="n"/>
      <c r="E19" s="9" t="n"/>
      <c r="F19" s="10">
        <f>IF(OR(C19="",C19="N/A"),"",
IF(AND(VALUE(LEFT(C19,1))&gt;=3,D19="Yes",E19="Yes"),"✓ Ready",
IF(AND(VALUE(LEFT(C19,1))&gt;=3,OR(D19="Yes",E19="Yes")),"⚠ Likely",
IF(AND(VALUE(LEFT(C19,1))&gt;=2,D19="Yes",E19="Yes"),"⚠ Partial",
IF(OR(VALUE(LEFT(C19,1))&lt;=1,AND(D19="No",E19="No")),"✗ Not Ready","⚠ Weak")))))</f>
        <v/>
      </c>
      <c r="G19" s="11">
        <f>IF(OR(C19="",C19="N/A"),"",
VALUE(LEFT(C19,1))*(IF(D19="Yes",0.5,IF(D19="Partial",0.25,0))+IF(E19="Yes",0.5,IF(E19="Partial",0.25,0))))</f>
        <v/>
      </c>
    </row>
    <row r="20">
      <c r="B20" s="8" t="inlineStr">
        <is>
          <t>Water intensity metrics</t>
        </is>
      </c>
      <c r="C20" s="9" t="n"/>
      <c r="D20" s="9" t="n"/>
      <c r="E20" s="9" t="n"/>
      <c r="F20" s="10">
        <f>IF(OR(C20="",C20="N/A"),"",
IF(AND(VALUE(LEFT(C20,1))&gt;=3,D20="Yes",E20="Yes"),"✓ Ready",
IF(AND(VALUE(LEFT(C20,1))&gt;=3,OR(D20="Yes",E20="Yes")),"⚠ Likely",
IF(AND(VALUE(LEFT(C20,1))&gt;=2,D20="Yes",E20="Yes"),"⚠ Partial",
IF(OR(VALUE(LEFT(C20,1))&lt;=1,AND(D20="No",E20="No")),"✗ Not Ready","⚠ Weak")))))</f>
        <v/>
      </c>
      <c r="G20" s="11">
        <f>IF(OR(C20="",C20="N/A"),"",
VALUE(LEFT(C20,1))*(IF(D20="Yes",0.5,IF(D20="Partial",0.25,0))+IF(E20="Yes",0.5,IF(E20="Partial",0.25,0))))</f>
        <v/>
      </c>
    </row>
    <row r="21">
      <c r="B21" s="7" t="inlineStr">
        <is>
          <t>4. WASTE MANAGEMENT</t>
        </is>
      </c>
      <c r="C21" s="8" t="n"/>
      <c r="D21" s="8" t="n"/>
      <c r="E21" s="8" t="n"/>
      <c r="F21" s="8" t="n"/>
      <c r="G21" s="8" t="n"/>
    </row>
    <row r="22">
      <c r="B22" s="8" t="inlineStr">
        <is>
          <t>Waste generation by stream</t>
        </is>
      </c>
      <c r="C22" s="9" t="n"/>
      <c r="D22" s="9" t="n"/>
      <c r="E22" s="9" t="n"/>
      <c r="F22" s="10">
        <f>IF(OR(C22="",C22="N/A"),"",
IF(AND(VALUE(LEFT(C22,1))&gt;=3,D22="Yes",E22="Yes"),"✓ Ready",
IF(AND(VALUE(LEFT(C22,1))&gt;=3,OR(D22="Yes",E22="Yes")),"⚠ Likely",
IF(AND(VALUE(LEFT(C22,1))&gt;=2,D22="Yes",E22="Yes"),"⚠ Partial",
IF(OR(VALUE(LEFT(C22,1))&lt;=1,AND(D22="No",E22="No")),"✗ Not Ready","⚠ Weak")))))</f>
        <v/>
      </c>
      <c r="G22" s="11">
        <f>IF(OR(C22="",C22="N/A"),"",
VALUE(LEFT(C22,1))*(IF(D22="Yes",0.5,IF(D22="Partial",0.25,0))+IF(E22="Yes",0.5,IF(E22="Partial",0.25,0))))</f>
        <v/>
      </c>
    </row>
    <row r="23">
      <c r="B23" s="8" t="inlineStr">
        <is>
          <t>Diversion/recycling rates</t>
        </is>
      </c>
      <c r="C23" s="9" t="n"/>
      <c r="D23" s="9" t="n"/>
      <c r="E23" s="9" t="n"/>
      <c r="F23" s="10">
        <f>IF(OR(C23="",C23="N/A"),"",
IF(AND(VALUE(LEFT(C23,1))&gt;=3,D23="Yes",E23="Yes"),"✓ Ready",
IF(AND(VALUE(LEFT(C23,1))&gt;=3,OR(D23="Yes",E23="Yes")),"⚠ Likely",
IF(AND(VALUE(LEFT(C23,1))&gt;=2,D23="Yes",E23="Yes"),"⚠ Partial",
IF(OR(VALUE(LEFT(C23,1))&lt;=1,AND(D23="No",E23="No")),"✗ Not Ready","⚠ Weak")))))</f>
        <v/>
      </c>
      <c r="G23" s="11">
        <f>IF(OR(C23="",C23="N/A"),"",
VALUE(LEFT(C23,1))*(IF(D23="Yes",0.5,IF(D23="Partial",0.25,0))+IF(E23="Yes",0.5,IF(E23="Partial",0.25,0))))</f>
        <v/>
      </c>
    </row>
    <row r="24">
      <c r="B24" s="8" t="inlineStr">
        <is>
          <t>Hazardous waste compliance</t>
        </is>
      </c>
      <c r="C24" s="9" t="n"/>
      <c r="D24" s="9" t="n"/>
      <c r="E24" s="9" t="n"/>
      <c r="F24" s="10">
        <f>IF(OR(C24="",C24="N/A"),"",
IF(AND(VALUE(LEFT(C24,1))&gt;=3,D24="Yes",E24="Yes"),"✓ Ready",
IF(AND(VALUE(LEFT(C24,1))&gt;=3,OR(D24="Yes",E24="Yes")),"⚠ Likely",
IF(AND(VALUE(LEFT(C24,1))&gt;=2,D24="Yes",E24="Yes"),"⚠ Partial",
IF(OR(VALUE(LEFT(C24,1))&lt;=1,AND(D24="No",E24="No")),"✗ Not Ready","⚠ Weak")))))</f>
        <v/>
      </c>
      <c r="G24" s="11">
        <f>IF(OR(C24="",C24="N/A"),"",
VALUE(LEFT(C24,1))*(IF(D24="Yes",0.5,IF(D24="Partial",0.25,0))+IF(E24="Yes",0.5,IF(E24="Partial",0.25,0))))</f>
        <v/>
      </c>
    </row>
    <row r="25">
      <c r="B25" s="7" t="inlineStr">
        <is>
          <t>5. SUSTAINABLE SOURCING</t>
        </is>
      </c>
      <c r="C25" s="8" t="n"/>
      <c r="D25" s="8" t="n"/>
      <c r="E25" s="8" t="n"/>
      <c r="F25" s="8" t="n"/>
      <c r="G25" s="8" t="n"/>
    </row>
    <row r="26">
      <c r="B26" s="8" t="inlineStr">
        <is>
          <t>Certified/sustainable input usage</t>
        </is>
      </c>
      <c r="C26" s="9" t="n"/>
      <c r="D26" s="9" t="n"/>
      <c r="E26" s="9" t="n"/>
      <c r="F26" s="10">
        <f>IF(OR(C26="",C26="N/A"),"",
IF(AND(VALUE(LEFT(C26,1))&gt;=3,D26="Yes",E26="Yes"),"✓ Ready",
IF(AND(VALUE(LEFT(C26,1))&gt;=3,OR(D26="Yes",E26="Yes")),"⚠ Likely",
IF(AND(VALUE(LEFT(C26,1))&gt;=2,D26="Yes",E26="Yes"),"⚠ Partial",
IF(OR(VALUE(LEFT(C26,1))&lt;=1,AND(D26="No",E26="No")),"✗ Not Ready","⚠ Weak")))))</f>
        <v/>
      </c>
      <c r="G26" s="11">
        <f>IF(OR(C26="",C26="N/A"),"",
VALUE(LEFT(C26,1))*(IF(D26="Yes",0.5,IF(D26="Partial",0.25,0))+IF(E26="Yes",0.5,IF(E26="Partial",0.25,0))))</f>
        <v/>
      </c>
    </row>
    <row r="27">
      <c r="B27" s="8" t="inlineStr">
        <is>
          <t>Supply chain traceability</t>
        </is>
      </c>
      <c r="C27" s="9" t="n"/>
      <c r="D27" s="9" t="n"/>
      <c r="E27" s="9" t="n"/>
      <c r="F27" s="10">
        <f>IF(OR(C27="",C27="N/A"),"",
IF(AND(VALUE(LEFT(C27,1))&gt;=3,D27="Yes",E27="Yes"),"✓ Ready",
IF(AND(VALUE(LEFT(C27,1))&gt;=3,OR(D27="Yes",E27="Yes")),"⚠ Likely",
IF(AND(VALUE(LEFT(C27,1))&gt;=2,D27="Yes",E27="Yes"),"⚠ Partial",
IF(OR(VALUE(LEFT(C27,1))&lt;=1,AND(D27="No",E27="No")),"✗ Not Ready","⚠ Weak")))))</f>
        <v/>
      </c>
      <c r="G27" s="11">
        <f>IF(OR(C27="",C27="N/A"),"",
VALUE(LEFT(C27,1))*(IF(D27="Yes",0.5,IF(D27="Partial",0.25,0))+IF(E27="Yes",0.5,IF(E27="Partial",0.25,0))))</f>
        <v/>
      </c>
    </row>
    <row r="28">
      <c r="B28" s="8" t="inlineStr">
        <is>
          <t>Supplier sustainability requirements</t>
        </is>
      </c>
      <c r="C28" s="9" t="n"/>
      <c r="D28" s="9" t="n"/>
      <c r="E28" s="9" t="n"/>
      <c r="F28" s="10">
        <f>IF(OR(C28="",C28="N/A"),"",
IF(AND(VALUE(LEFT(C28,1))&gt;=3,D28="Yes",E28="Yes"),"✓ Ready",
IF(AND(VALUE(LEFT(C28,1))&gt;=3,OR(D28="Yes",E28="Yes")),"⚠ Likely",
IF(AND(VALUE(LEFT(C28,1))&gt;=2,D28="Yes",E28="Yes"),"⚠ Partial",
IF(OR(VALUE(LEFT(C28,1))&lt;=1,AND(D28="No",E28="No")),"✗ Not Ready","⚠ Weak")))))</f>
        <v/>
      </c>
      <c r="G28" s="11">
        <f>IF(OR(C28="",C28="N/A"),"",
VALUE(LEFT(C28,1))*(IF(D28="Yes",0.5,IF(D28="Partial",0.25,0))+IF(E28="Yes",0.5,IF(E28="Partial",0.25,0))))</f>
        <v/>
      </c>
    </row>
    <row r="29">
      <c r="B29" s="7" t="inlineStr">
        <is>
          <t>6. BIODIVERSITY &amp; LAND USE</t>
        </is>
      </c>
      <c r="C29" s="8" t="n"/>
      <c r="D29" s="8" t="n"/>
      <c r="E29" s="8" t="n"/>
      <c r="F29" s="8" t="n"/>
      <c r="G29" s="8" t="n"/>
    </row>
    <row r="30">
      <c r="B30" s="8" t="inlineStr">
        <is>
          <t>Operational land area breakdown</t>
        </is>
      </c>
      <c r="C30" s="9" t="n"/>
      <c r="D30" s="9" t="n"/>
      <c r="E30" s="9" t="n"/>
      <c r="F30" s="10">
        <f>IF(OR(C30="",C30="N/A"),"",
IF(AND(VALUE(LEFT(C30,1))&gt;=3,D30="Yes",E30="Yes"),"✓ Ready",
IF(AND(VALUE(LEFT(C30,1))&gt;=3,OR(D30="Yes",E30="Yes")),"⚠ Likely",
IF(AND(VALUE(LEFT(C30,1))&gt;=2,D30="Yes",E30="Yes"),"⚠ Partial",
IF(OR(VALUE(LEFT(C30,1))&lt;=1,AND(D30="No",E30="No")),"✗ Not Ready","⚠ Weak")))))</f>
        <v/>
      </c>
      <c r="G30" s="11">
        <f>IF(OR(C30="",C30="N/A"),"",
VALUE(LEFT(C30,1))*(IF(D30="Yes",0.5,IF(D30="Partial",0.25,0))+IF(E30="Yes",0.5,IF(E30="Partial",0.25,0))))</f>
        <v/>
      </c>
    </row>
    <row r="31">
      <c r="B31" s="8" t="inlineStr">
        <is>
          <t>Conservation/biodiversity measures</t>
        </is>
      </c>
      <c r="C31" s="9" t="n"/>
      <c r="D31" s="9" t="n"/>
      <c r="E31" s="9" t="n"/>
      <c r="F31" s="10">
        <f>IF(OR(C31="",C31="N/A"),"",
IF(AND(VALUE(LEFT(C31,1))&gt;=3,D31="Yes",E31="Yes"),"✓ Ready",
IF(AND(VALUE(LEFT(C31,1))&gt;=3,OR(D31="Yes",E31="Yes")),"⚠ Likely",
IF(AND(VALUE(LEFT(C31,1))&gt;=2,D31="Yes",E31="Yes"),"⚠ Partial",
IF(OR(VALUE(LEFT(C31,1))&lt;=1,AND(D31="No",E31="No")),"✗ Not Ready","⚠ Weak")))))</f>
        <v/>
      </c>
      <c r="G31" s="11">
        <f>IF(OR(C31="",C31="N/A"),"",
VALUE(LEFT(C31,1))*(IF(D31="Yes",0.5,IF(D31="Partial",0.25,0))+IF(E31="Yes",0.5,IF(E31="Partial",0.25,0))))</f>
        <v/>
      </c>
    </row>
    <row r="32">
      <c r="B32" s="8" t="inlineStr">
        <is>
          <t>Soil health monitoring (if applicable)</t>
        </is>
      </c>
      <c r="C32" s="9" t="n"/>
      <c r="D32" s="9" t="n"/>
      <c r="E32" s="9" t="n"/>
      <c r="F32" s="10">
        <f>IF(OR(C32="",C32="N/A"),"",
IF(AND(VALUE(LEFT(C32,1))&gt;=3,D32="Yes",E32="Yes"),"✓ Ready",
IF(AND(VALUE(LEFT(C32,1))&gt;=3,OR(D32="Yes",E32="Yes")),"⚠ Likely",
IF(AND(VALUE(LEFT(C32,1))&gt;=2,D32="Yes",E32="Yes"),"⚠ Partial",
IF(OR(VALUE(LEFT(C32,1))&lt;=1,AND(D32="No",E32="No")),"✗ Not Ready","⚠ Weak")))))</f>
        <v/>
      </c>
      <c r="G32" s="11">
        <f>IF(OR(C32="",C32="N/A"),"",
VALUE(LEFT(C32,1))*(IF(D32="Yes",0.5,IF(D32="Partial",0.25,0))+IF(E32="Yes",0.5,IF(E32="Partial",0.25,0))))</f>
        <v/>
      </c>
    </row>
    <row r="33">
      <c r="B33" s="7" t="inlineStr">
        <is>
          <t>7. CHEMICAL MANAGEMENT</t>
        </is>
      </c>
      <c r="C33" s="8" t="n"/>
      <c r="D33" s="8" t="n"/>
      <c r="E33" s="8" t="n"/>
      <c r="F33" s="8" t="n"/>
      <c r="G33" s="8" t="n"/>
    </row>
    <row r="34">
      <c r="B34" s="8" t="inlineStr">
        <is>
          <t>Application tracking</t>
        </is>
      </c>
      <c r="C34" s="9" t="n"/>
      <c r="D34" s="9" t="n"/>
      <c r="E34" s="9" t="n"/>
      <c r="F34" s="10">
        <f>IF(OR(C34="",C34="N/A"),"",
IF(AND(VALUE(LEFT(C34,1))&gt;=3,D34="Yes",E34="Yes"),"✓ Ready",
IF(AND(VALUE(LEFT(C34,1))&gt;=3,OR(D34="Yes",E34="Yes")),"⚠ Likely",
IF(AND(VALUE(LEFT(C34,1))&gt;=2,D34="Yes",E34="Yes"),"⚠ Partial",
IF(OR(VALUE(LEFT(C34,1))&lt;=1,AND(D34="No",E34="No")),"✗ Not Ready","⚠ Weak")))))</f>
        <v/>
      </c>
      <c r="G34" s="11">
        <f>IF(OR(C34="",C34="N/A"),"",
VALUE(LEFT(C34,1))*(IF(D34="Yes",0.5,IF(D34="Partial",0.25,0))+IF(E34="Yes",0.5,IF(E34="Partial",0.25,0))))</f>
        <v/>
      </c>
    </row>
    <row r="35">
      <c r="B35" s="8" t="inlineStr">
        <is>
          <t>Storage and handling compliance</t>
        </is>
      </c>
      <c r="C35" s="9" t="n"/>
      <c r="D35" s="9" t="n"/>
      <c r="E35" s="9" t="n"/>
      <c r="F35" s="10">
        <f>IF(OR(C35="",C35="N/A"),"",
IF(AND(VALUE(LEFT(C35,1))&gt;=3,D35="Yes",E35="Yes"),"✓ Ready",
IF(AND(VALUE(LEFT(C35,1))&gt;=3,OR(D35="Yes",E35="Yes")),"⚠ Likely",
IF(AND(VALUE(LEFT(C35,1))&gt;=2,D35="Yes",E35="Yes"),"⚠ Partial",
IF(OR(VALUE(LEFT(C35,1))&lt;=1,AND(D35="No",E35="No")),"✗ Not Ready","⚠ Weak")))))</f>
        <v/>
      </c>
      <c r="G35" s="11">
        <f>IF(OR(C35="",C35="N/A"),"",
VALUE(LEFT(C35,1))*(IF(D35="Yes",0.5,IF(D35="Partial",0.25,0))+IF(E35="Yes",0.5,IF(E35="Partial",0.25,0))))</f>
        <v/>
      </c>
    </row>
    <row r="36">
      <c r="B36" s="8" t="inlineStr">
        <is>
          <t>Reduction plans</t>
        </is>
      </c>
      <c r="C36" s="9" t="n"/>
      <c r="D36" s="9" t="n"/>
      <c r="E36" s="9" t="n"/>
      <c r="F36" s="10">
        <f>IF(OR(C36="",C36="N/A"),"",
IF(AND(VALUE(LEFT(C36,1))&gt;=3,D36="Yes",E36="Yes"),"✓ Ready",
IF(AND(VALUE(LEFT(C36,1))&gt;=3,OR(D36="Yes",E36="Yes")),"⚠ Likely",
IF(AND(VALUE(LEFT(C36,1))&gt;=2,D36="Yes",E36="Yes"),"⚠ Partial",
IF(OR(VALUE(LEFT(C36,1))&lt;=1,AND(D36="No",E36="No")),"✗ Not Ready","⚠ Weak")))))</f>
        <v/>
      </c>
      <c r="G36" s="11">
        <f>IF(OR(C36="",C36="N/A"),"",
VALUE(LEFT(C36,1))*(IF(D36="Yes",0.5,IF(D36="Partial",0.25,0))+IF(E36="Yes",0.5,IF(E36="Partial",0.25,0))))</f>
        <v/>
      </c>
    </row>
    <row r="37">
      <c r="B37" s="7" t="inlineStr">
        <is>
          <t>8. ANIMAL WELFARE (if applicable)</t>
        </is>
      </c>
      <c r="C37" s="8" t="n"/>
      <c r="D37" s="8" t="n"/>
      <c r="E37" s="8" t="n"/>
      <c r="F37" s="8" t="n"/>
      <c r="G37" s="8" t="n"/>
    </row>
    <row r="38">
      <c r="B38" s="8" t="inlineStr">
        <is>
          <t>Housing/living conditions documented</t>
        </is>
      </c>
      <c r="C38" s="9" t="n"/>
      <c r="D38" s="9" t="n"/>
      <c r="E38" s="9" t="n"/>
      <c r="F38" s="10">
        <f>IF(OR(C38="",C38="N/A"),"",
IF(AND(VALUE(LEFT(C38,1))&gt;=3,D38="Yes",E38="Yes"),"✓ Ready",
IF(AND(VALUE(LEFT(C38,1))&gt;=3,OR(D38="Yes",E38="Yes")),"⚠ Likely",
IF(AND(VALUE(LEFT(C38,1))&gt;=2,D38="Yes",E38="Yes"),"⚠ Partial",
IF(OR(VALUE(LEFT(C38,1))&lt;=1,AND(D38="No",E38="No")),"✗ Not Ready","⚠ Weak")))))</f>
        <v/>
      </c>
      <c r="G38" s="11">
        <f>IF(OR(C38="",C38="N/A"),"",
VALUE(LEFT(C38,1))*(IF(D38="Yes",0.5,IF(D38="Partial",0.25,0))+IF(E38="Yes",0.5,IF(E38="Partial",0.25,0))))</f>
        <v/>
      </c>
    </row>
    <row r="39">
      <c r="B39" s="8" t="inlineStr">
        <is>
          <t>Health protocols</t>
        </is>
      </c>
      <c r="C39" s="9" t="n"/>
      <c r="D39" s="9" t="n"/>
      <c r="E39" s="9" t="n"/>
      <c r="F39" s="10">
        <f>IF(OR(C39="",C39="N/A"),"",
IF(AND(VALUE(LEFT(C39,1))&gt;=3,D39="Yes",E39="Yes"),"✓ Ready",
IF(AND(VALUE(LEFT(C39,1))&gt;=3,OR(D39="Yes",E39="Yes")),"⚠ Likely",
IF(AND(VALUE(LEFT(C39,1))&gt;=2,D39="Yes",E39="Yes"),"⚠ Partial",
IF(OR(VALUE(LEFT(C39,1))&lt;=1,AND(D39="No",E39="No")),"✗ Not Ready","⚠ Weak")))))</f>
        <v/>
      </c>
      <c r="G39" s="11">
        <f>IF(OR(C39="",C39="N/A"),"",
VALUE(LEFT(C39,1))*(IF(D39="Yes",0.5,IF(D39="Partial",0.25,0))+IF(E39="Yes",0.5,IF(E39="Partial",0.25,0))))</f>
        <v/>
      </c>
    </row>
    <row r="40">
      <c r="B40" s="8" t="inlineStr">
        <is>
          <t>Antibiotic use policy</t>
        </is>
      </c>
      <c r="C40" s="9" t="n"/>
      <c r="D40" s="9" t="n"/>
      <c r="E40" s="9" t="n"/>
      <c r="F40" s="10">
        <f>IF(OR(C40="",C40="N/A"),"",
IF(AND(VALUE(LEFT(C40,1))&gt;=3,D40="Yes",E40="Yes"),"✓ Ready",
IF(AND(VALUE(LEFT(C40,1))&gt;=3,OR(D40="Yes",E40="Yes")),"⚠ Likely",
IF(AND(VALUE(LEFT(C40,1))&gt;=2,D40="Yes",E40="Yes"),"⚠ Partial",
IF(OR(VALUE(LEFT(C40,1))&lt;=1,AND(D40="No",E40="No")),"✗ Not Ready","⚠ Weak")))))</f>
        <v/>
      </c>
      <c r="G40" s="11">
        <f>IF(OR(C40="",C40="N/A"),"",
VALUE(LEFT(C40,1))*(IF(D40="Yes",0.5,IF(D40="Partial",0.25,0))+IF(E40="Yes",0.5,IF(E40="Partial",0.25,0))))</f>
        <v/>
      </c>
    </row>
    <row r="41">
      <c r="B41" s="7" t="inlineStr">
        <is>
          <t>9. LABOR &amp; SOCIAL PRACTICES</t>
        </is>
      </c>
      <c r="C41" s="8" t="n"/>
      <c r="D41" s="8" t="n"/>
      <c r="E41" s="8" t="n"/>
      <c r="F41" s="8" t="n"/>
      <c r="G41" s="8" t="n"/>
    </row>
    <row r="42">
      <c r="B42" s="8" t="inlineStr">
        <is>
          <t>Fair labor compliance</t>
        </is>
      </c>
      <c r="C42" s="9" t="n"/>
      <c r="D42" s="9" t="n"/>
      <c r="E42" s="9" t="n"/>
      <c r="F42" s="10">
        <f>IF(OR(C42="",C42="N/A"),"",
IF(AND(VALUE(LEFT(C42,1))&gt;=3,D42="Yes",E42="Yes"),"✓ Ready",
IF(AND(VALUE(LEFT(C42,1))&gt;=3,OR(D42="Yes",E42="Yes")),"⚠ Likely",
IF(AND(VALUE(LEFT(C42,1))&gt;=2,D42="Yes",E42="Yes"),"⚠ Partial",
IF(OR(VALUE(LEFT(C42,1))&lt;=1,AND(D42="No",E42="No")),"✗ Not Ready","⚠ Weak")))))</f>
        <v/>
      </c>
      <c r="G42" s="11">
        <f>IF(OR(C42="",C42="N/A"),"",
VALUE(LEFT(C42,1))*(IF(D42="Yes",0.5,IF(D42="Partial",0.25,0))+IF(E42="Yes",0.5,IF(E42="Partial",0.25,0))))</f>
        <v/>
      </c>
    </row>
    <row r="43">
      <c r="B43" s="8" t="inlineStr">
        <is>
          <t>Health and safety programs</t>
        </is>
      </c>
      <c r="C43" s="9" t="n"/>
      <c r="D43" s="9" t="n"/>
      <c r="E43" s="9" t="n"/>
      <c r="F43" s="10">
        <f>IF(OR(C43="",C43="N/A"),"",
IF(AND(VALUE(LEFT(C43,1))&gt;=3,D43="Yes",E43="Yes"),"✓ Ready",
IF(AND(VALUE(LEFT(C43,1))&gt;=3,OR(D43="Yes",E43="Yes")),"⚠ Likely",
IF(AND(VALUE(LEFT(C43,1))&gt;=2,D43="Yes",E43="Yes"),"⚠ Partial",
IF(OR(VALUE(LEFT(C43,1))&lt;=1,AND(D43="No",E43="No")),"✗ Not Ready","⚠ Weak")))))</f>
        <v/>
      </c>
      <c r="G43" s="11">
        <f>IF(OR(C43="",C43="N/A"),"",
VALUE(LEFT(C43,1))*(IF(D43="Yes",0.5,IF(D43="Partial",0.25,0))+IF(E43="Yes",0.5,IF(E43="Partial",0.25,0))))</f>
        <v/>
      </c>
    </row>
    <row r="44">
      <c r="B44" s="8" t="inlineStr">
        <is>
          <t>Incident tracking</t>
        </is>
      </c>
      <c r="C44" s="9" t="n"/>
      <c r="D44" s="9" t="n"/>
      <c r="E44" s="9" t="n"/>
      <c r="F44" s="10">
        <f>IF(OR(C44="",C44="N/A"),"",
IF(AND(VALUE(LEFT(C44,1))&gt;=3,D44="Yes",E44="Yes"),"✓ Ready",
IF(AND(VALUE(LEFT(C44,1))&gt;=3,OR(D44="Yes",E44="Yes")),"⚠ Likely",
IF(AND(VALUE(LEFT(C44,1))&gt;=2,D44="Yes",E44="Yes"),"⚠ Partial",
IF(OR(VALUE(LEFT(C44,1))&lt;=1,AND(D44="No",E44="No")),"✗ Not Ready","⚠ Weak")))))</f>
        <v/>
      </c>
      <c r="G44" s="11">
        <f>IF(OR(C44="",C44="N/A"),"",
VALUE(LEFT(C44,1))*(IF(D44="Yes",0.5,IF(D44="Partial",0.25,0))+IF(E44="Yes",0.5,IF(E44="Partial",0.25,0))))</f>
        <v/>
      </c>
    </row>
    <row r="45">
      <c r="B45" s="7" t="inlineStr">
        <is>
          <t>10. CLIMATE ADAPTATION</t>
        </is>
      </c>
      <c r="C45" s="8" t="n"/>
      <c r="D45" s="8" t="n"/>
      <c r="E45" s="8" t="n"/>
      <c r="F45" s="8" t="n"/>
      <c r="G45" s="8" t="n"/>
    </row>
    <row r="46">
      <c r="B46" s="8" t="inlineStr">
        <is>
          <t>Climate risk assessment</t>
        </is>
      </c>
      <c r="C46" s="9" t="n"/>
      <c r="D46" s="9" t="n"/>
      <c r="E46" s="9" t="n"/>
      <c r="F46" s="10">
        <f>IF(OR(C46="",C46="N/A"),"",
IF(AND(VALUE(LEFT(C46,1))&gt;=3,D46="Yes",E46="Yes"),"✓ Ready",
IF(AND(VALUE(LEFT(C46,1))&gt;=3,OR(D46="Yes",E46="Yes")),"⚠ Likely",
IF(AND(VALUE(LEFT(C46,1))&gt;=2,D46="Yes",E46="Yes"),"⚠ Partial",
IF(OR(VALUE(LEFT(C46,1))&lt;=1,AND(D46="No",E46="No")),"✗ Not Ready","⚠ Weak")))))</f>
        <v/>
      </c>
      <c r="G46" s="11">
        <f>IF(OR(C46="",C46="N/A"),"",
VALUE(LEFT(C46,1))*(IF(D46="Yes",0.5,IF(D46="Partial",0.25,0))+IF(E46="Yes",0.5,IF(E46="Partial",0.25,0))))</f>
        <v/>
      </c>
    </row>
    <row r="47">
      <c r="B47" s="8" t="inlineStr">
        <is>
          <t>Adaptation measures</t>
        </is>
      </c>
      <c r="C47" s="9" t="n"/>
      <c r="D47" s="9" t="n"/>
      <c r="E47" s="9" t="n"/>
      <c r="F47" s="10">
        <f>IF(OR(C47="",C47="N/A"),"",
IF(AND(VALUE(LEFT(C47,1))&gt;=3,D47="Yes",E47="Yes"),"✓ Ready",
IF(AND(VALUE(LEFT(C47,1))&gt;=3,OR(D47="Yes",E47="Yes")),"⚠ Likely",
IF(AND(VALUE(LEFT(C47,1))&gt;=2,D47="Yes",E47="Yes"),"⚠ Partial",
IF(OR(VALUE(LEFT(C47,1))&lt;=1,AND(D47="No",E47="No")),"✗ Not Ready","⚠ Weak")))))</f>
        <v/>
      </c>
      <c r="G47" s="11">
        <f>IF(OR(C47="",C47="N/A"),"",
VALUE(LEFT(C47,1))*(IF(D47="Yes",0.5,IF(D47="Partial",0.25,0))+IF(E47="Yes",0.5,IF(E47="Partial",0.25,0))))</f>
        <v/>
      </c>
    </row>
    <row r="48">
      <c r="B48" s="8" t="inlineStr">
        <is>
          <t>Business continuity planning</t>
        </is>
      </c>
      <c r="C48" s="9" t="n"/>
      <c r="D48" s="9" t="n"/>
      <c r="E48" s="9" t="n"/>
      <c r="F48" s="10">
        <f>IF(OR(C48="",C48="N/A"),"",
IF(AND(VALUE(LEFT(C48,1))&gt;=3,D48="Yes",E48="Yes"),"✓ Ready",
IF(AND(VALUE(LEFT(C48,1))&gt;=3,OR(D48="Yes",E48="Yes")),"⚠ Likely",
IF(AND(VALUE(LEFT(C48,1))&gt;=2,D48="Yes",E48="Yes"),"⚠ Partial",
IF(OR(VALUE(LEFT(C48,1))&lt;=1,AND(D48="No",E48="No")),"✗ Not Ready","⚠ Weak")))))</f>
        <v/>
      </c>
      <c r="G48" s="11">
        <f>IF(OR(C48="",C48="N/A"),"",
VALUE(LEFT(C48,1))*(IF(D48="Yes",0.5,IF(D48="Partial",0.25,0))+IF(E48="Yes",0.5,IF(E48="Partial",0.25,0))))</f>
        <v/>
      </c>
    </row>
    <row r="49">
      <c r="B49" s="7" t="inlineStr">
        <is>
          <t>11. CERTIFICATIONS &amp; STANDARDS</t>
        </is>
      </c>
      <c r="C49" s="8" t="n"/>
      <c r="D49" s="8" t="n"/>
      <c r="E49" s="8" t="n"/>
      <c r="F49" s="8" t="n"/>
      <c r="G49" s="8" t="n"/>
    </row>
    <row r="50">
      <c r="B50" s="8" t="inlineStr">
        <is>
          <t>Current certifications held</t>
        </is>
      </c>
      <c r="C50" s="9" t="n"/>
      <c r="D50" s="9" t="n"/>
      <c r="E50" s="9" t="n"/>
      <c r="F50" s="10">
        <f>IF(OR(C50="",C50="N/A"),"",
IF(AND(VALUE(LEFT(C50,1))&gt;=3,D50="Yes",E50="Yes"),"✓ Ready",
IF(AND(VALUE(LEFT(C50,1))&gt;=3,OR(D50="Yes",E50="Yes")),"⚠ Likely",
IF(AND(VALUE(LEFT(C50,1))&gt;=2,D50="Yes",E50="Yes"),"⚠ Partial",
IF(OR(VALUE(LEFT(C50,1))&lt;=1,AND(D50="No",E50="No")),"✗ Not Ready","⚠ Weak")))))</f>
        <v/>
      </c>
      <c r="G50" s="11">
        <f>IF(OR(C50="",C50="N/A"),"",
VALUE(LEFT(C50,1))*(IF(D50="Yes",0.5,IF(D50="Partial",0.25,0))+IF(E50="Yes",0.5,IF(E50="Partial",0.25,0))))</f>
        <v/>
      </c>
    </row>
    <row r="51">
      <c r="B51" s="8" t="inlineStr">
        <is>
          <t>Audit history</t>
        </is>
      </c>
      <c r="C51" s="9" t="n"/>
      <c r="D51" s="9" t="n"/>
      <c r="E51" s="9" t="n"/>
      <c r="F51" s="10">
        <f>IF(OR(C51="",C51="N/A"),"",
IF(AND(VALUE(LEFT(C51,1))&gt;=3,D51="Yes",E51="Yes"),"✓ Ready",
IF(AND(VALUE(LEFT(C51,1))&gt;=3,OR(D51="Yes",E51="Yes")),"⚠ Likely",
IF(AND(VALUE(LEFT(C51,1))&gt;=2,D51="Yes",E51="Yes"),"⚠ Partial",
IF(OR(VALUE(LEFT(C51,1))&lt;=1,AND(D51="No",E51="No")),"✗ Not Ready","⚠ Weak")))))</f>
        <v/>
      </c>
      <c r="G51" s="11">
        <f>IF(OR(C51="",C51="N/A"),"",
VALUE(LEFT(C51,1))*(IF(D51="Yes",0.5,IF(D51="Partial",0.25,0))+IF(E51="Yes",0.5,IF(E51="Partial",0.25,0))))</f>
        <v/>
      </c>
    </row>
    <row r="52">
      <c r="B52" s="8" t="inlineStr">
        <is>
          <t>Standards alignment</t>
        </is>
      </c>
      <c r="C52" s="9" t="n"/>
      <c r="D52" s="9" t="n"/>
      <c r="E52" s="9" t="n"/>
      <c r="F52" s="10">
        <f>IF(OR(C52="",C52="N/A"),"",
IF(AND(VALUE(LEFT(C52,1))&gt;=3,D52="Yes",E52="Yes"),"✓ Ready",
IF(AND(VALUE(LEFT(C52,1))&gt;=3,OR(D52="Yes",E52="Yes")),"⚠ Likely",
IF(AND(VALUE(LEFT(C52,1))&gt;=2,D52="Yes",E52="Yes"),"⚠ Partial",
IF(OR(VALUE(LEFT(C52,1))&lt;=1,AND(D52="No",E52="No")),"✗ Not Ready","⚠ Weak")))))</f>
        <v/>
      </c>
      <c r="G52" s="11">
        <f>IF(OR(C52="",C52="N/A"),"",
VALUE(LEFT(C52,1))*(IF(D52="Yes",0.5,IF(D52="Partial",0.25,0))+IF(E52="Yes",0.5,IF(E52="Partial",0.25,0))))</f>
        <v/>
      </c>
    </row>
    <row r="53">
      <c r="B53" s="7" t="inlineStr">
        <is>
          <t>12. SUSTAINABILITY GOVERNANCE</t>
        </is>
      </c>
      <c r="C53" s="8" t="n"/>
      <c r="D53" s="8" t="n"/>
      <c r="E53" s="8" t="n"/>
      <c r="F53" s="8" t="n"/>
      <c r="G53" s="8" t="n"/>
    </row>
    <row r="54">
      <c r="B54" s="8" t="inlineStr">
        <is>
          <t>Sustainability policy documented</t>
        </is>
      </c>
      <c r="C54" s="9" t="n"/>
      <c r="D54" s="9" t="n"/>
      <c r="E54" s="9" t="n"/>
      <c r="F54" s="10">
        <f>IF(OR(C54="",C54="N/A"),"",
IF(AND(VALUE(LEFT(C54,1))&gt;=3,D54="Yes",E54="Yes"),"✓ Ready",
IF(AND(VALUE(LEFT(C54,1))&gt;=3,OR(D54="Yes",E54="Yes")),"⚠ Likely",
IF(AND(VALUE(LEFT(C54,1))&gt;=2,D54="Yes",E54="Yes"),"⚠ Partial",
IF(OR(VALUE(LEFT(C54,1))&lt;=1,AND(D54="No",E54="No")),"✗ Not Ready","⚠ Weak")))))</f>
        <v/>
      </c>
      <c r="G54" s="11">
        <f>IF(OR(C54="",C54="N/A"),"",
VALUE(LEFT(C54,1))*(IF(D54="Yes",0.5,IF(D54="Partial",0.25,0))+IF(E54="Yes",0.5,IF(E54="Partial",0.25,0))))</f>
        <v/>
      </c>
    </row>
    <row r="55">
      <c r="B55" s="8" t="inlineStr">
        <is>
          <t>Responsible party assigned</t>
        </is>
      </c>
      <c r="C55" s="9" t="n"/>
      <c r="D55" s="9" t="n"/>
      <c r="E55" s="9" t="n"/>
      <c r="F55" s="10">
        <f>IF(OR(C55="",C55="N/A"),"",
IF(AND(VALUE(LEFT(C55,1))&gt;=3,D55="Yes",E55="Yes"),"✓ Ready",
IF(AND(VALUE(LEFT(C55,1))&gt;=3,OR(D55="Yes",E55="Yes")),"⚠ Likely",
IF(AND(VALUE(LEFT(C55,1))&gt;=2,D55="Yes",E55="Yes"),"⚠ Partial",
IF(OR(VALUE(LEFT(C55,1))&lt;=1,AND(D55="No",E55="No")),"✗ Not Ready","⚠ Weak")))))</f>
        <v/>
      </c>
      <c r="G55" s="11">
        <f>IF(OR(C55="",C55="N/A"),"",
VALUE(LEFT(C55,1))*(IF(D55="Yes",0.5,IF(D55="Partial",0.25,0))+IF(E55="Yes",0.5,IF(E55="Partial",0.25,0))))</f>
        <v/>
      </c>
    </row>
    <row r="56">
      <c r="B56" s="8" t="inlineStr">
        <is>
          <t>Improvement targets</t>
        </is>
      </c>
      <c r="C56" s="9" t="n"/>
      <c r="D56" s="9" t="n"/>
      <c r="E56" s="9" t="n"/>
      <c r="F56" s="10">
        <f>IF(OR(C56="",C56="N/A"),"",
IF(AND(VALUE(LEFT(C56,1))&gt;=3,D56="Yes",E56="Yes"),"✓ Ready",
IF(AND(VALUE(LEFT(C56,1))&gt;=3,OR(D56="Yes",E56="Yes")),"⚠ Likely",
IF(AND(VALUE(LEFT(C56,1))&gt;=2,D56="Yes",E56="Yes"),"⚠ Partial",
IF(OR(VALUE(LEFT(C56,1))&lt;=1,AND(D56="No",E56="No")),"✗ Not Ready","⚠ Weak")))))</f>
        <v/>
      </c>
      <c r="G56" s="11">
        <f>IF(OR(C56="",C56="N/A"),"",
VALUE(LEFT(C56,1))*(IF(D56="Yes",0.5,IF(D56="Partial",0.25,0))+IF(E56="Yes",0.5,IF(E56="Partial",0.25,0))))</f>
        <v/>
      </c>
    </row>
    <row r="59">
      <c r="B59" s="12" t="inlineStr">
        <is>
          <t>SUMMARY</t>
        </is>
      </c>
    </row>
    <row r="60">
      <c r="B60" t="inlineStr">
        <is>
          <t>Total Score:</t>
        </is>
      </c>
      <c r="C60" s="13">
        <f>SUM(G7:G56)</f>
        <v/>
      </c>
    </row>
    <row r="61">
      <c r="B61" t="inlineStr">
        <is>
          <t>Maximum Possible:</t>
        </is>
      </c>
      <c r="C61">
        <f>COUNTIF(G7:G56,"&gt;0")*5</f>
        <v/>
      </c>
    </row>
    <row r="62">
      <c r="B62" s="14" t="inlineStr">
        <is>
          <t>Overall Readiness:</t>
        </is>
      </c>
      <c r="C62" s="15">
        <f>IF(C61=0,0,C60/C61)</f>
        <v/>
      </c>
    </row>
  </sheetData>
  <mergeCells count="1">
    <mergeCell ref="B1:G1"/>
  </mergeCells>
  <dataValidations count="2">
    <dataValidation sqref="C8 C9 C10 C11 C13 C14 C15 C16 C18 C19 C20 C22 C23 C24 C26 C27 C28 C30 C31 C32 C34 C35 C36 C38 C39 C40 C42 C43 C44 C46 C47 C48 C50 C51 C52 C54 C55 C56" showDropDown="0" showInputMessage="0" showErrorMessage="0" allowBlank="1" type="list">
      <formula1>"0 - No data,1 - Rough guess,2 - Partial data,3 - Complete unverified,4 - Complete internally verified,5 - Complete third-party verified,N/A"</formula1>
    </dataValidation>
    <dataValidation sqref="D8 D9 D10 D11 D13 D14 D15 D16 D18 D19 D20 D22 D23 D24 D26 D27 D28 D30 D31 D32 D34 D35 D36 D38 D39 D40 D42 D43 D44 D46 D47 D48 D50 D51 D52 D54 D55 D56 E8 E9 E10 E11 E13 E14 E15 E16 E18 E19 E20 E22 E23 E24 E26 E27 E28 E30 E31 E32 E34 E35 E36 E38 E39 E40 E42 E43 E44 E46 E47 E48 E50 E51 E52 E54 E55 E56" showDropDown="0" showInputMessage="0" showErrorMessage="0" allowBlank="1" type="list">
      <formula1>"Yes,Partial,No"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8"/>
  <sheetViews>
    <sheetView workbookViewId="0">
      <selection activeCell="A1" sqref="A1"/>
    </sheetView>
  </sheetViews>
  <sheetFormatPr baseColWidth="8" defaultRowHeight="15"/>
  <cols>
    <col width="35" customWidth="1" min="2" max="2"/>
    <col width="12" customWidth="1" min="3" max="3"/>
    <col width="15" customWidth="1" min="4" max="4"/>
    <col width="25" customWidth="1" min="5" max="5"/>
  </cols>
  <sheetData>
    <row r="2">
      <c r="B2" s="1" t="inlineStr">
        <is>
          <t>YOUR READINESS RESULTS</t>
        </is>
      </c>
    </row>
    <row r="4">
      <c r="B4" s="12" t="inlineStr">
        <is>
          <t>OVERALL READINESS SCORE</t>
        </is>
      </c>
    </row>
    <row r="5">
      <c r="C5" s="16">
        <f>Assessment!C62</f>
        <v/>
      </c>
    </row>
    <row r="7">
      <c r="B7" s="14" t="inlineStr">
        <is>
          <t>Interpretation:</t>
        </is>
      </c>
      <c r="C7">
        <f>IF(C5&gt;=0.8,"Well prepared for buyer requests",IF(C5&gt;=0.6,"Moderate readiness - key gaps exist",IF(C5&gt;=0.4,"Significant gaps - prioritize improvement","Major capability building needed")))</f>
        <v/>
      </c>
    </row>
    <row r="10">
      <c r="B10" s="12" t="inlineStr">
        <is>
          <t>CATEGORY BREAKDOWN</t>
        </is>
      </c>
    </row>
    <row r="11">
      <c r="B11" s="17" t="inlineStr">
        <is>
          <t>Category</t>
        </is>
      </c>
      <c r="C11" s="17" t="inlineStr">
        <is>
          <t>Avg Score</t>
        </is>
      </c>
      <c r="D11" s="17" t="inlineStr">
        <is>
          <t>Status</t>
        </is>
      </c>
    </row>
    <row r="12">
      <c r="B12" s="8" t="inlineStr">
        <is>
          <t>Carbon Footprint Data</t>
        </is>
      </c>
      <c r="C12" s="18">
        <f>IF(COUNT(Assessment!G8:G11)=0,"N/A",AVERAGE(Assessment!G8:G11)/5)</f>
        <v/>
      </c>
      <c r="D12" s="8">
        <f>IF(C12="N/A","—",IF(C12&gt;=0.7,"✓ OK",IF(C12&gt;=0.4,"⚠ GAP","✗ CRITICAL")))</f>
        <v/>
      </c>
    </row>
    <row r="13">
      <c r="B13" s="8" t="inlineStr">
        <is>
          <t>Energy Consumption</t>
        </is>
      </c>
      <c r="C13" s="18">
        <f>IF(COUNT(Assessment!G13:G16)=0,"N/A",AVERAGE(Assessment!G13:G16)/5)</f>
        <v/>
      </c>
      <c r="D13" s="8">
        <f>IF(C13="N/A","—",IF(C13&gt;=0.7,"✓ OK",IF(C13&gt;=0.4,"⚠ GAP","✗ CRITICAL")))</f>
        <v/>
      </c>
    </row>
    <row r="14">
      <c r="B14" s="8" t="inlineStr">
        <is>
          <t>Water Use</t>
        </is>
      </c>
      <c r="C14" s="18">
        <f>IF(COUNT(Assessment!G18:G20)=0,"N/A",AVERAGE(Assessment!G18:G20)/5)</f>
        <v/>
      </c>
      <c r="D14" s="8">
        <f>IF(C14="N/A","—",IF(C14&gt;=0.7,"✓ OK",IF(C14&gt;=0.4,"⚠ GAP","✗ CRITICAL")))</f>
        <v/>
      </c>
    </row>
    <row r="15">
      <c r="B15" s="8" t="inlineStr">
        <is>
          <t>Waste Management</t>
        </is>
      </c>
      <c r="C15" s="18">
        <f>IF(COUNT(Assessment!G22:G24)=0,"N/A",AVERAGE(Assessment!G22:G24)/5)</f>
        <v/>
      </c>
      <c r="D15" s="8">
        <f>IF(C15="N/A","—",IF(C15&gt;=0.7,"✓ OK",IF(C15&gt;=0.4,"⚠ GAP","✗ CRITICAL")))</f>
        <v/>
      </c>
    </row>
    <row r="16">
      <c r="B16" s="8" t="inlineStr">
        <is>
          <t>Sustainable Sourcing</t>
        </is>
      </c>
      <c r="C16" s="18">
        <f>IF(COUNT(Assessment!G26:G28)=0,"N/A",AVERAGE(Assessment!G26:G28)/5)</f>
        <v/>
      </c>
      <c r="D16" s="8">
        <f>IF(C16="N/A","—",IF(C16&gt;=0.7,"✓ OK",IF(C16&gt;=0.4,"⚠ GAP","✗ CRITICAL")))</f>
        <v/>
      </c>
    </row>
    <row r="17">
      <c r="B17" s="8" t="inlineStr">
        <is>
          <t>Biodiversity &amp; Land Use</t>
        </is>
      </c>
      <c r="C17" s="18">
        <f>IF(COUNT(Assessment!G30:G32)=0,"N/A",AVERAGE(Assessment!G30:G32)/5)</f>
        <v/>
      </c>
      <c r="D17" s="8">
        <f>IF(C17="N/A","—",IF(C17&gt;=0.7,"✓ OK",IF(C17&gt;=0.4,"⚠ GAP","✗ CRITICAL")))</f>
        <v/>
      </c>
    </row>
    <row r="18">
      <c r="B18" s="8" t="inlineStr">
        <is>
          <t>Chemical Management</t>
        </is>
      </c>
      <c r="C18" s="18">
        <f>IF(COUNT(Assessment!G34:G36)=0,"N/A",AVERAGE(Assessment!G34:G36)/5)</f>
        <v/>
      </c>
      <c r="D18" s="8">
        <f>IF(C18="N/A","—",IF(C18&gt;=0.7,"✓ OK",IF(C18&gt;=0.4,"⚠ GAP","✗ CRITICAL")))</f>
        <v/>
      </c>
    </row>
    <row r="19">
      <c r="B19" s="8" t="inlineStr">
        <is>
          <t>Animal Welfare</t>
        </is>
      </c>
      <c r="C19" s="18">
        <f>IF(COUNT(Assessment!G38:G40)=0,"N/A",AVERAGE(Assessment!G38:G40)/5)</f>
        <v/>
      </c>
      <c r="D19" s="8">
        <f>IF(C19="N/A","—",IF(C19&gt;=0.7,"✓ OK",IF(C19&gt;=0.4,"⚠ GAP","✗ CRITICAL")))</f>
        <v/>
      </c>
    </row>
    <row r="20">
      <c r="B20" s="8" t="inlineStr">
        <is>
          <t>Labor &amp; Social Practices</t>
        </is>
      </c>
      <c r="C20" s="18">
        <f>IF(COUNT(Assessment!G42:G44)=0,"N/A",AVERAGE(Assessment!G42:G44)/5)</f>
        <v/>
      </c>
      <c r="D20" s="8">
        <f>IF(C20="N/A","—",IF(C20&gt;=0.7,"✓ OK",IF(C20&gt;=0.4,"⚠ GAP","✗ CRITICAL")))</f>
        <v/>
      </c>
    </row>
    <row r="21">
      <c r="B21" s="8" t="inlineStr">
        <is>
          <t>Climate Adaptation</t>
        </is>
      </c>
      <c r="C21" s="18">
        <f>IF(COUNT(Assessment!G46:G48)=0,"N/A",AVERAGE(Assessment!G46:G48)/5)</f>
        <v/>
      </c>
      <c r="D21" s="8">
        <f>IF(C21="N/A","—",IF(C21&gt;=0.7,"✓ OK",IF(C21&gt;=0.4,"⚠ GAP","✗ CRITICAL")))</f>
        <v/>
      </c>
    </row>
    <row r="22">
      <c r="B22" s="8" t="inlineStr">
        <is>
          <t>Certifications &amp; Standards</t>
        </is>
      </c>
      <c r="C22" s="18">
        <f>IF(COUNT(Assessment!G50:G52)=0,"N/A",AVERAGE(Assessment!G50:G52)/5)</f>
        <v/>
      </c>
      <c r="D22" s="8">
        <f>IF(C22="N/A","—",IF(C22&gt;=0.7,"✓ OK",IF(C22&gt;=0.4,"⚠ GAP","✗ CRITICAL")))</f>
        <v/>
      </c>
    </row>
    <row r="23">
      <c r="B23" s="8" t="inlineStr">
        <is>
          <t>Sustainability Governance</t>
        </is>
      </c>
      <c r="C23" s="18">
        <f>IF(COUNT(Assessment!G54:G56)=0,"N/A",AVERAGE(Assessment!G54:G56)/5)</f>
        <v/>
      </c>
      <c r="D23" s="8">
        <f>IF(C23="N/A","—",IF(C23&gt;=0.7,"✓ OK",IF(C23&gt;=0.4,"⚠ GAP","✗ CRITICAL")))</f>
        <v/>
      </c>
    </row>
    <row r="26">
      <c r="B26" s="12" t="inlineStr">
        <is>
          <t>RESPONSE READINESS SUMMARY</t>
        </is>
      </c>
    </row>
    <row r="27">
      <c r="B27" t="inlineStr">
        <is>
          <t>✓ Ready items:</t>
        </is>
      </c>
      <c r="C27">
        <f>COUNTIF(Assessment!F7:F56,"✓ Ready")</f>
        <v/>
      </c>
    </row>
    <row r="28">
      <c r="B28" t="inlineStr">
        <is>
          <t>⚠ Likely/Partial/Weak items:</t>
        </is>
      </c>
      <c r="C28">
        <f>COUNTIF(Assessment!F7:F56,"⚠*")</f>
        <v/>
      </c>
    </row>
    <row r="29">
      <c r="B29" t="inlineStr">
        <is>
          <t>✗ Not Ready items:</t>
        </is>
      </c>
      <c r="C29">
        <f>COUNTIF(Assessment!F7:F56,"✗ Not Ready")</f>
        <v/>
      </c>
    </row>
    <row r="32">
      <c r="B32" s="12" t="inlineStr">
        <is>
          <t>NEXT STEPS</t>
        </is>
      </c>
    </row>
    <row r="34">
      <c r="B34" t="inlineStr">
        <is>
          <t>1. Use the Gap Analysis Prioritization Matrix to decide what to fix first</t>
        </is>
      </c>
    </row>
    <row r="35">
      <c r="B35" t="inlineStr">
        <is>
          <t>2. Use the Response Templates when buyers ask questions</t>
        </is>
      </c>
    </row>
    <row r="36">
      <c r="B36" t="inlineStr">
        <is>
          <t>3. Focus on items marked '✗ Not Ready' and '✗ CRITICAL' categories</t>
        </is>
      </c>
    </row>
    <row r="38">
      <c r="B38" s="19" t="inlineStr">
        <is>
          <t>Need to BUILD the data systems? Get the Complete Baseline System (€99)</t>
        </is>
      </c>
    </row>
  </sheetData>
  <mergeCells count="1">
    <mergeCell ref="B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18"/>
  <sheetViews>
    <sheetView workbookViewId="0">
      <selection activeCell="A1" sqref="A1"/>
    </sheetView>
  </sheetViews>
  <sheetFormatPr baseColWidth="8" defaultRowHeight="15"/>
  <cols>
    <col width="35" customWidth="1" min="2" max="2"/>
    <col width="15" customWidth="1" min="3" max="3"/>
    <col width="35" customWidth="1" min="4" max="4"/>
  </cols>
  <sheetData>
    <row r="2">
      <c r="B2" s="1" t="inlineStr">
        <is>
          <t>GAP ANALYSIS</t>
        </is>
      </c>
    </row>
    <row r="3">
      <c r="B3" s="19" t="inlineStr">
        <is>
          <t>Review items where Response Ready = ✗ Not Ready or ⚠ Weak</t>
        </is>
      </c>
    </row>
    <row r="5">
      <c r="B5" s="17" t="inlineStr">
        <is>
          <t>Category</t>
        </is>
      </c>
      <c r="C5" s="17" t="inlineStr">
        <is>
          <t>Response Status</t>
        </is>
      </c>
      <c r="D5" s="17" t="inlineStr">
        <is>
          <t>Action Needed</t>
        </is>
      </c>
    </row>
    <row r="7">
      <c r="B7" t="inlineStr">
        <is>
          <t>To identify your gaps:</t>
        </is>
      </c>
    </row>
    <row r="8">
      <c r="B8" t="inlineStr">
        <is>
          <t>1. Go to the Assessment tab</t>
        </is>
      </c>
    </row>
    <row r="9">
      <c r="B9" t="inlineStr">
        <is>
          <t>2. Look at the 'Response Ready' column</t>
        </is>
      </c>
    </row>
    <row r="10">
      <c r="B10" t="inlineStr">
        <is>
          <t>3. Items showing '✗ Not Ready' need attention</t>
        </is>
      </c>
    </row>
    <row r="11">
      <c r="B11" t="inlineStr">
        <is>
          <t>4. Items showing '⚠ Weak' could be improved</t>
        </is>
      </c>
    </row>
    <row r="13">
      <c r="B13" t="inlineStr">
        <is>
          <t>Common fixes:</t>
        </is>
      </c>
    </row>
    <row r="14">
      <c r="B14" t="inlineStr">
        <is>
          <t>• Not Ready due to low confidence → Start collecting/measuring this data</t>
        </is>
      </c>
    </row>
    <row r="15">
      <c r="B15" t="inlineStr">
        <is>
          <t>• Not Ready due to no methodology → Document how you calculate/measure</t>
        </is>
      </c>
    </row>
    <row r="16">
      <c r="B16" t="inlineStr">
        <is>
          <t>• Not Ready due to no records → Organize your source files (invoices, logs)</t>
        </is>
      </c>
    </row>
    <row r="18">
      <c r="B18" t="inlineStr">
        <is>
          <t>Use the Gap Analysis Prioritization Matrix to decide which gaps to close first.</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Data Confidence</t>
        </is>
      </c>
      <c r="D1" t="inlineStr">
        <is>
          <t>Yes/Partial/No</t>
        </is>
      </c>
    </row>
    <row r="2">
      <c r="A2" t="inlineStr">
        <is>
          <t>0 - No data</t>
        </is>
      </c>
      <c r="B2" t="n">
        <v>0</v>
      </c>
      <c r="D2" t="inlineStr">
        <is>
          <t>Yes</t>
        </is>
      </c>
      <c r="E2" t="n">
        <v>1</v>
      </c>
    </row>
    <row r="3">
      <c r="A3" t="inlineStr">
        <is>
          <t>1 - Rough guess</t>
        </is>
      </c>
      <c r="B3" t="n">
        <v>1</v>
      </c>
      <c r="D3" t="inlineStr">
        <is>
          <t>Partial</t>
        </is>
      </c>
      <c r="E3" t="n">
        <v>0.5</v>
      </c>
    </row>
    <row r="4">
      <c r="A4" t="inlineStr">
        <is>
          <t>2 - Partial data</t>
        </is>
      </c>
      <c r="B4" t="n">
        <v>2</v>
      </c>
      <c r="D4" t="inlineStr">
        <is>
          <t>No</t>
        </is>
      </c>
      <c r="E4" t="n">
        <v>0</v>
      </c>
    </row>
    <row r="5">
      <c r="A5" t="inlineStr">
        <is>
          <t>3 - Complete, unverified</t>
        </is>
      </c>
      <c r="B5" t="n">
        <v>3</v>
      </c>
    </row>
    <row r="6">
      <c r="A6" t="inlineStr">
        <is>
          <t>4 - Complete, internally verified</t>
        </is>
      </c>
      <c r="B6" t="n">
        <v>4</v>
      </c>
    </row>
    <row r="7">
      <c r="A7" t="inlineStr">
        <is>
          <t>5 - Complete, third-party verified</t>
        </is>
      </c>
      <c r="B7" t="n">
        <v>5</v>
      </c>
    </row>
    <row r="8">
      <c r="A8" t="inlineStr">
        <is>
          <t>N/A - Not applicable</t>
        </is>
      </c>
      <c r="B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2026-01-22T21:09:24Z</dcterms:created>
  <dcterms:modified xmlns:dcterms="http://purl.org/dc/terms/" xmlns:xsi="http://www.w3.org/2001/XMLSchema-instance" xsi:type="dcterms:W3CDTF">2026-01-22T21:09:24Z</dcterms:modified>
</cp:coreProperties>
</file>