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CY\ecosystems-united\tools\stack-1-products\sustainability-data-readiness-assessment\deliverables\"/>
    </mc:Choice>
  </mc:AlternateContent>
  <xr:revisionPtr revIDLastSave="0" documentId="13_ncr:1_{527372CE-CB3F-41BD-8671-3A804E8EEE2D}" xr6:coauthVersionLast="36" xr6:coauthVersionMax="36" xr10:uidLastSave="{00000000-0000-0000-0000-000000000000}"/>
  <bookViews>
    <workbookView xWindow="0" yWindow="0" windowWidth="23040" windowHeight="7500" activeTab="3" xr2:uid="{00000000-000D-0000-FFFF-FFFF00000000}"/>
  </bookViews>
  <sheets>
    <sheet name="Instructions" sheetId="1" r:id="rId1"/>
    <sheet name="Scenario Selection" sheetId="2" r:id="rId2"/>
    <sheet name="Key Dates" sheetId="3" r:id="rId3"/>
    <sheet name="Gap Import" sheetId="4" r:id="rId4"/>
    <sheet name="Milestone Mapping" sheetId="5" r:id="rId5"/>
    <sheet name="Progress Tracker" sheetId="6" r:id="rId6"/>
    <sheet name="Config" sheetId="7" state="hidden" r:id="rId7"/>
  </sheets>
  <calcPr calcId="191029"/>
</workbook>
</file>

<file path=xl/calcChain.xml><?xml version="1.0" encoding="utf-8"?>
<calcChain xmlns="http://schemas.openxmlformats.org/spreadsheetml/2006/main">
  <c r="H35" i="6" l="1"/>
  <c r="D35" i="6"/>
  <c r="G35" i="6" s="1"/>
  <c r="C35" i="6"/>
  <c r="B35" i="6"/>
  <c r="H34" i="6"/>
  <c r="D34" i="6"/>
  <c r="G34" i="6" s="1"/>
  <c r="C34" i="6"/>
  <c r="B34" i="6"/>
  <c r="H33" i="6"/>
  <c r="D33" i="6"/>
  <c r="G33" i="6" s="1"/>
  <c r="C33" i="6"/>
  <c r="B33" i="6"/>
  <c r="H32" i="6"/>
  <c r="D32" i="6"/>
  <c r="G32" i="6" s="1"/>
  <c r="C32" i="6"/>
  <c r="B32" i="6"/>
  <c r="H31" i="6"/>
  <c r="D31" i="6"/>
  <c r="G31" i="6" s="1"/>
  <c r="C31" i="6"/>
  <c r="B31" i="6"/>
  <c r="H30" i="6"/>
  <c r="G30" i="6"/>
  <c r="D30" i="6"/>
  <c r="C30" i="6"/>
  <c r="B30" i="6"/>
  <c r="H29" i="6"/>
  <c r="D29" i="6"/>
  <c r="G29" i="6" s="1"/>
  <c r="C29" i="6"/>
  <c r="B29" i="6"/>
  <c r="H28" i="6"/>
  <c r="D28" i="6"/>
  <c r="G28" i="6" s="1"/>
  <c r="C28" i="6"/>
  <c r="B28" i="6"/>
  <c r="H27" i="6"/>
  <c r="D27" i="6"/>
  <c r="G27" i="6" s="1"/>
  <c r="C27" i="6"/>
  <c r="B27" i="6"/>
  <c r="H26" i="6"/>
  <c r="D26" i="6"/>
  <c r="G26" i="6" s="1"/>
  <c r="C26" i="6"/>
  <c r="B26" i="6"/>
  <c r="H25" i="6"/>
  <c r="D25" i="6"/>
  <c r="G25" i="6" s="1"/>
  <c r="C25" i="6"/>
  <c r="B25" i="6"/>
  <c r="H24" i="6"/>
  <c r="D24" i="6"/>
  <c r="G24" i="6" s="1"/>
  <c r="C24" i="6"/>
  <c r="B24" i="6"/>
  <c r="H23" i="6"/>
  <c r="D23" i="6"/>
  <c r="G23" i="6" s="1"/>
  <c r="C23" i="6"/>
  <c r="B23" i="6"/>
  <c r="H22" i="6"/>
  <c r="D22" i="6"/>
  <c r="G22" i="6" s="1"/>
  <c r="C22" i="6"/>
  <c r="B22" i="6"/>
  <c r="H21" i="6"/>
  <c r="D21" i="6"/>
  <c r="G21" i="6" s="1"/>
  <c r="C21" i="6"/>
  <c r="B21" i="6"/>
  <c r="H20" i="6"/>
  <c r="D20" i="6"/>
  <c r="G20" i="6" s="1"/>
  <c r="C20" i="6"/>
  <c r="B20" i="6"/>
  <c r="H19" i="6"/>
  <c r="D19" i="6"/>
  <c r="G19" i="6" s="1"/>
  <c r="C19" i="6"/>
  <c r="B19" i="6"/>
  <c r="H18" i="6"/>
  <c r="F12" i="6" s="1"/>
  <c r="G18" i="6"/>
  <c r="D18" i="6"/>
  <c r="C18" i="6"/>
  <c r="B18" i="6"/>
  <c r="H17" i="6"/>
  <c r="D17" i="6"/>
  <c r="G17" i="6" s="1"/>
  <c r="C17" i="6"/>
  <c r="B17" i="6"/>
  <c r="H16" i="6"/>
  <c r="D16" i="6"/>
  <c r="G16" i="6" s="1"/>
  <c r="C16" i="6"/>
  <c r="B16" i="6"/>
  <c r="C12" i="6"/>
  <c r="B12" i="6" l="1"/>
  <c r="D12" i="6"/>
  <c r="E12" i="6"/>
</calcChain>
</file>

<file path=xl/sharedStrings.xml><?xml version="1.0" encoding="utf-8"?>
<sst xmlns="http://schemas.openxmlformats.org/spreadsheetml/2006/main" count="137" uniqueCount="117">
  <si>
    <t>TIMELINE PLANNING TOOL</t>
  </si>
  <si>
    <t>Map your gap closure activities to a calendar with milestone tracking.</t>
  </si>
  <si>
    <t>How to use this tool:</t>
  </si>
  <si>
    <t>1. Go to Scenario Selection and choose your timeline approach</t>
  </si>
  <si>
    <t>2. Enter your key dates (buyer deadlines, audits, etc.) in Key Dates</t>
  </si>
  <si>
    <t>3. Import your gaps from the Gap Analysis Matrix into Gap Import</t>
  </si>
  <si>
    <t>4. Map milestones for each gap in Milestone Mapping</t>
  </si>
  <si>
    <t>5. Track progress weekly in Progress Tracker</t>
  </si>
  <si>
    <t>Scenario Options:</t>
  </si>
  <si>
    <t>Proactive (6-12 months) - Build comprehensive capability before pressure</t>
  </si>
  <si>
    <t>Early Warning (3-6 months) - Respond to upcoming deadline with focused effort</t>
  </si>
  <si>
    <t>Reactive (90 days) - Immediate response with honest communication</t>
  </si>
  <si>
    <t>Estimated time: 1-2 hours initial setup, 15-30 min weekly updates</t>
  </si>
  <si>
    <t>Timeline Planning Tool · Ecosystems United · v1.0 · contact@ecosystemsunited.com</t>
  </si>
  <si>
    <t>SCENARIO SELECTION</t>
  </si>
  <si>
    <t>Choose your timeline approach based on your situation.</t>
  </si>
  <si>
    <t>How to use this page:</t>
  </si>
  <si>
    <t>1. Review the three scenarios below</t>
  </si>
  <si>
    <t>2. Select your scenario from the dropdown</t>
  </si>
  <si>
    <t>3. Your selection will guide the timeline in other tabs</t>
  </si>
  <si>
    <t>YOUR SELECTION</t>
  </si>
  <si>
    <t>Scenario</t>
  </si>
  <si>
    <t>SCENARIO DETAILS</t>
  </si>
  <si>
    <t>Timeline</t>
  </si>
  <si>
    <t>Phases</t>
  </si>
  <si>
    <t>Target Readiness</t>
  </si>
  <si>
    <t>Proactive</t>
  </si>
  <si>
    <t>6-12 months</t>
  </si>
  <si>
    <t>Phase 1: Q1 gaps (Mo 1-3)
Phase 2: Core metrics (Mo 4-6)
Phase 3: Remaining (Mo 7-12)</t>
  </si>
  <si>
    <t>80%+</t>
  </si>
  <si>
    <t>Early Warning</t>
  </si>
  <si>
    <t>3-6 months</t>
  </si>
  <si>
    <t>Phase 1: Q1+critical Q2 (Mo 1-2)
Phase 2: Complete Q2 (Mo 3-4)
Phase 3: Documentation (Mo 5-6)</t>
  </si>
  <si>
    <t>65%+</t>
  </si>
  <si>
    <t>Reactive</t>
  </si>
  <si>
    <t>Immediate + 90 days</t>
  </si>
  <si>
    <t>Week 1: Triage
Week 2-4: Partial response
Months 2-4: Build capability</t>
  </si>
  <si>
    <t>Honest response</t>
  </si>
  <si>
    <t>KEY DATES</t>
  </si>
  <si>
    <t>Enter important deadlines that will appear on your timeline.</t>
  </si>
  <si>
    <t>1. Enter your planning start date</t>
  </si>
  <si>
    <t>2. Add buyer deadlines, audit dates, and other key milestones</t>
  </si>
  <si>
    <t>3. These dates will appear as markers on your Gantt view</t>
  </si>
  <si>
    <t>PLANNING START</t>
  </si>
  <si>
    <t>Start Date</t>
  </si>
  <si>
    <t>BUYER DEADLINES</t>
  </si>
  <si>
    <t>#</t>
  </si>
  <si>
    <t>Deadline Date</t>
  </si>
  <si>
    <t>Buyer Name</t>
  </si>
  <si>
    <t>Request Type</t>
  </si>
  <si>
    <t>Status</t>
  </si>
  <si>
    <t>GAP IMPORT</t>
  </si>
  <si>
    <t>Copy your gaps from the Gap Analysis Matrix.</t>
  </si>
  <si>
    <t>1. Open your completed Gap Analysis Matrix</t>
  </si>
  <si>
    <t>2. Copy your gaps into the table below</t>
  </si>
  <si>
    <t>3. Include quadrant and priority score for proper scheduling</t>
  </si>
  <si>
    <t>YOUR GAPS</t>
  </si>
  <si>
    <t>Gap ID</t>
  </si>
  <si>
    <t>Category</t>
  </si>
  <si>
    <t>Sub-requirement</t>
  </si>
  <si>
    <t>Quadrant</t>
  </si>
  <si>
    <t>Priority Score</t>
  </si>
  <si>
    <t>Est. Timeline</t>
  </si>
  <si>
    <t>Dependencies</t>
  </si>
  <si>
    <t>MILESTONE MAPPING</t>
  </si>
  <si>
    <t>Define milestones and target dates for each gap.</t>
  </si>
  <si>
    <t>1. For each gap, enter a start date and target completion date</t>
  </si>
  <si>
    <t>2. Add 1-3 milestones with dates and descriptions</t>
  </si>
  <si>
    <t>3. Assign an owner responsible for each gap</t>
  </si>
  <si>
    <t>MILESTONE SCHEDULE</t>
  </si>
  <si>
    <t>Milestone 1</t>
  </si>
  <si>
    <t>Milestone 2</t>
  </si>
  <si>
    <t>Milestone 3</t>
  </si>
  <si>
    <t>Target Complete</t>
  </si>
  <si>
    <t>Phase</t>
  </si>
  <si>
    <t>Owner</t>
  </si>
  <si>
    <t>Notes</t>
  </si>
  <si>
    <t>PROGRESS TRACKER</t>
  </si>
  <si>
    <t>Track status and completion for each gap.</t>
  </si>
  <si>
    <t>1. Update status and % complete weekly</t>
  </si>
  <si>
    <t>2. Note any blockers preventing progress</t>
  </si>
  <si>
    <t>3. Review risk flags to identify items needing attention</t>
  </si>
  <si>
    <t>SUMMARY</t>
  </si>
  <si>
    <t>Total Gaps</t>
  </si>
  <si>
    <t>Complete</t>
  </si>
  <si>
    <t>On Track</t>
  </si>
  <si>
    <t>At Risk</t>
  </si>
  <si>
    <t>Overdue</t>
  </si>
  <si>
    <t>GAP PROGRESS</t>
  </si>
  <si>
    <t>Target Date</t>
  </si>
  <si>
    <t>% Complete</t>
  </si>
  <si>
    <t>Days Remaining</t>
  </si>
  <si>
    <t>Risk Flag</t>
  </si>
  <si>
    <t>Blockers</t>
  </si>
  <si>
    <t>Last Updated</t>
  </si>
  <si>
    <t>Status Options</t>
  </si>
  <si>
    <t>Quadrant Options</t>
  </si>
  <si>
    <t>Phase Options</t>
  </si>
  <si>
    <t>Request Types</t>
  </si>
  <si>
    <t>Not Started</t>
  </si>
  <si>
    <t>Q1: DO FIRST</t>
  </si>
  <si>
    <t>Phase 1</t>
  </si>
  <si>
    <t>Questionnaire</t>
  </si>
  <si>
    <t>In Progress</t>
  </si>
  <si>
    <t>Q2: PLAN CAREFULLY</t>
  </si>
  <si>
    <t>Phase 2</t>
  </si>
  <si>
    <t>Data request</t>
  </si>
  <si>
    <t>Q3: WHEN TIME ALLOWS</t>
  </si>
  <si>
    <t>Phase 3</t>
  </si>
  <si>
    <t>Audit</t>
  </si>
  <si>
    <t>Q4: DEFER</t>
  </si>
  <si>
    <t>Certification review</t>
  </si>
  <si>
    <t>Blocked</t>
  </si>
  <si>
    <t>Contract renewal</t>
  </si>
  <si>
    <t>Other</t>
  </si>
  <si>
    <t>Deferred</t>
  </si>
  <si>
    <t>Proactive (6-12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</si>
</sst>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809]dd\ mmmm\ yyyy;@"/>
  </numFmts>
  <fonts count="7" x14ac:knownFonts="1">
    <font>
      <sz val="11"/>
      <color theme="1"/>
      <name val="Calibri"/>
      <family val="2"/>
      <scheme val="minor"/>
    </font>
    <font>
      <b/>
      <sz val="24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1538"/>
        <bgColor rgb="FF0B1538"/>
      </patternFill>
    </fill>
    <fill>
      <patternFill patternType="solid">
        <fgColor rgb="FFBAD2EB"/>
        <bgColor rgb="FFBAD2EB"/>
      </patternFill>
    </fill>
    <fill>
      <patternFill patternType="solid">
        <fgColor rgb="FFEAF1DE"/>
        <bgColor rgb="FFEAF1DE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center" indent="1"/>
    </xf>
    <xf numFmtId="0" fontId="0" fillId="0" borderId="1" xfId="0" applyFill="1" applyBorder="1"/>
    <xf numFmtId="0" fontId="2" fillId="0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65" fontId="2" fillId="0" borderId="1" xfId="0" applyNumberFormat="1" applyFont="1" applyFill="1" applyBorder="1" applyAlignment="1">
      <alignment horizontal="left" vertical="center" indent="1"/>
    </xf>
    <xf numFmtId="0" fontId="2" fillId="0" borderId="4" xfId="0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horizontal="left" vertical="center" indent="1"/>
    </xf>
    <xf numFmtId="0" fontId="2" fillId="0" borderId="8" xfId="0" applyFont="1" applyFill="1" applyBorder="1" applyAlignment="1">
      <alignment horizontal="left" vertical="center" indent="1"/>
    </xf>
    <xf numFmtId="0" fontId="2" fillId="0" borderId="9" xfId="0" applyFont="1" applyFill="1" applyBorder="1" applyAlignment="1">
      <alignment horizontal="left" vertical="center" indent="1"/>
    </xf>
    <xf numFmtId="0" fontId="2" fillId="0" borderId="10" xfId="0" applyFont="1" applyFill="1" applyBorder="1" applyAlignment="1">
      <alignment horizontal="left" vertical="center" indent="1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indent="1"/>
    </xf>
    <xf numFmtId="0" fontId="2" fillId="4" borderId="9" xfId="0" applyFont="1" applyFill="1" applyBorder="1" applyAlignment="1">
      <alignment horizontal="left" vertical="center" indent="1"/>
    </xf>
    <xf numFmtId="0" fontId="2" fillId="4" borderId="10" xfId="0" applyFont="1" applyFill="1" applyBorder="1" applyAlignment="1">
      <alignment horizontal="left" vertical="center" indent="1"/>
    </xf>
    <xf numFmtId="0" fontId="2" fillId="5" borderId="4" xfId="0" applyFont="1" applyFill="1" applyBorder="1" applyAlignment="1">
      <alignment horizontal="left" vertical="center" indent="1"/>
    </xf>
    <xf numFmtId="0" fontId="2" fillId="5" borderId="8" xfId="0" applyFont="1" applyFill="1" applyBorder="1" applyAlignment="1">
      <alignment horizontal="left" vertical="center" indent="1"/>
    </xf>
    <xf numFmtId="0" fontId="2" fillId="5" borderId="9" xfId="0" applyFont="1" applyFill="1" applyBorder="1" applyAlignment="1">
      <alignment horizontal="left" vertical="center" indent="1"/>
    </xf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AD2EB"/>
          <bgColor rgb="FFBAD2E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AF1DE"/>
          <bgColor rgb="FFEAF1DE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AF1DE"/>
          <bgColor rgb="FFEAF1DE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AF1DE"/>
          <bgColor rgb="FFEAF1DE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AF1DE"/>
          <bgColor rgb="FFEAF1DE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AF1DE"/>
          <bgColor rgb="FFEAF1DE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AD2EB"/>
          <bgColor rgb="FFBAD2E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AD2EB"/>
          <bgColor rgb="FFBAD2E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202AB6-D55D-4A71-BCA9-045DE7B32870}" name="Table3" displayName="Table3" ref="B11:H31" totalsRowShown="0" headerRowDxfId="29" dataDxfId="30" headerRowBorderDxfId="39" tableBorderDxfId="40" totalsRowBorderDxfId="38">
  <autoFilter ref="B11:H31" xr:uid="{2AD82E79-AC36-4ED6-B883-9E0D1408A3B7}"/>
  <tableColumns count="7">
    <tableColumn id="1" xr3:uid="{72995507-44B8-4F04-9512-6AE5DEDEF00D}" name="Gap ID" dataDxfId="37"/>
    <tableColumn id="2" xr3:uid="{77FE613B-5F56-44A6-91C3-67210F2E4C6E}" name="Category" dataDxfId="36"/>
    <tableColumn id="3" xr3:uid="{8BA13325-9566-4523-B207-3A4DDFAACF6E}" name="Sub-requirement" dataDxfId="35"/>
    <tableColumn id="4" xr3:uid="{C7301B4E-A75B-4342-957A-4C9494E29C00}" name="Quadrant" dataDxfId="34"/>
    <tableColumn id="5" xr3:uid="{E54B174A-A6E6-4975-8A3E-401AB8935F6C}" name="Priority Score" dataDxfId="33"/>
    <tableColumn id="6" xr3:uid="{F86299D1-4A2D-430B-BC14-75C73DCF1435}" name="Est. Timeline" dataDxfId="32"/>
    <tableColumn id="7" xr3:uid="{6CF16738-A215-4E64-97B6-D6839AF6D63E}" name="Dependencies" dataDxfId="3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3FB36-9AFB-4D80-82AE-200940B73356}" name="Table4" displayName="Table4" ref="B11:K31" totalsRowShown="0" headerRowDxfId="14" dataDxfId="16" headerRowBorderDxfId="15" tableBorderDxfId="28" totalsRowBorderDxfId="27">
  <autoFilter ref="B11:K31" xr:uid="{FFAB67F0-5D00-4D28-A997-C225DEB67645}"/>
  <tableColumns count="10">
    <tableColumn id="1" xr3:uid="{1A36BE69-2D22-43C0-BAD0-4319547C16E6}" name="Gap ID" dataDxfId="26"/>
    <tableColumn id="2" xr3:uid="{CEA1E2C9-F7AA-4072-8ED5-9C372F63AF9E}" name="Sub-requirement" dataDxfId="25"/>
    <tableColumn id="3" xr3:uid="{AD9D105A-F962-406A-AEC8-E782AAE7BCD4}" name="Start Date" dataDxfId="24"/>
    <tableColumn id="4" xr3:uid="{0483E2DB-2A9B-483A-823D-7E74696BD0FD}" name="Milestone 1" dataDxfId="23"/>
    <tableColumn id="5" xr3:uid="{5BE59FB5-B398-499B-AFD6-4CEDA65988C2}" name="Milestone 2" dataDxfId="22"/>
    <tableColumn id="6" xr3:uid="{5F29F173-E261-406A-80DF-4BECF95675BA}" name="Milestone 3" dataDxfId="21"/>
    <tableColumn id="7" xr3:uid="{067054C4-B243-4D6A-A326-1F290F23FA60}" name="Target Complete" dataDxfId="20"/>
    <tableColumn id="8" xr3:uid="{234AE053-7111-4BBF-A6E1-67C3F8CDC44D}" name="Phase" dataDxfId="19"/>
    <tableColumn id="9" xr3:uid="{B8E221CD-CCD7-4D93-A2D9-528C34DF71E9}" name="Owner" dataDxfId="18"/>
    <tableColumn id="10" xr3:uid="{58C28E45-F95C-44E4-9A9B-22AC777E1787}" name="Notes" dataDxfId="17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97F3DD-4B6C-4208-A138-BFE29D335B29}" name="Table5" displayName="Table5" ref="B15:K35" totalsRowShown="0" headerRowDxfId="0" headerRowBorderDxfId="12" tableBorderDxfId="13" totalsRowBorderDxfId="11">
  <autoFilter ref="B15:K35" xr:uid="{A59E865B-7F5E-4350-B765-3232DF8CA235}"/>
  <tableColumns count="10">
    <tableColumn id="1" xr3:uid="{32890DC1-748E-48A1-B8B8-ED32DDBC281E}" name="Gap ID" dataDxfId="10">
      <calculatedColumnFormula>IF('Milestone Mapping'!B12="","",'Milestone Mapping'!B12)</calculatedColumnFormula>
    </tableColumn>
    <tableColumn id="2" xr3:uid="{10F44040-8E13-4669-9832-C10A05E107BA}" name="Sub-requirement" dataDxfId="9">
      <calculatedColumnFormula>IF('Milestone Mapping'!C12="","",'Milestone Mapping'!C12)</calculatedColumnFormula>
    </tableColumn>
    <tableColumn id="3" xr3:uid="{1517902C-542B-4138-8773-D49FEDE83F28}" name="Target Date" dataDxfId="8">
      <calculatedColumnFormula>IF('Milestone Mapping'!H12="","",'Milestone Mapping'!H12)</calculatedColumnFormula>
    </tableColumn>
    <tableColumn id="4" xr3:uid="{6531E528-4F4B-4C9A-9239-DC24DF386645}" name="Status" dataDxfId="7"/>
    <tableColumn id="5" xr3:uid="{B5F705A9-6AD5-43C6-96B8-10CFF755C14E}" name="% Complete" dataDxfId="6"/>
    <tableColumn id="6" xr3:uid="{5E55F7A0-49C7-47BE-BC1B-7DB5994A8A59}" name="Days Remaining" dataDxfId="5">
      <calculatedColumnFormula>IF(D16="","",IF(D16&lt;TODAY(),"OVERDUE",D16-TODAY()))</calculatedColumnFormula>
    </tableColumn>
    <tableColumn id="7" xr3:uid="{ED7BAA28-E282-45CD-BC67-9FF8F5C010BB}" name="Risk Flag" dataDxfId="4">
      <calculatedColumnFormula>IF(E16="","",IF(E16="Complete","✓",IF(G16="OVERDUE","✗ OVERDUE",IF(AND(G16&lt;14,F16&lt;50),"⚠ AT RISK",IF(AND(G16&lt;7,F16&lt;80),"⚠ AT RISK","OK")))))</calculatedColumnFormula>
    </tableColumn>
    <tableColumn id="8" xr3:uid="{45A2432F-D10F-481E-B6E2-B471280EB12A}" name="Blockers" dataDxfId="3"/>
    <tableColumn id="9" xr3:uid="{90EB5940-5660-4AEF-828C-E9DCD3FAD467}" name="Last Updated" dataDxfId="2"/>
    <tableColumn id="10" xr3:uid="{0BDA45EF-A09B-4727-B928-61CEC13EA1E6}" name="Not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showGridLines="0" workbookViewId="0">
      <selection activeCell="C29" sqref="C29"/>
    </sheetView>
  </sheetViews>
  <sheetFormatPr defaultRowHeight="14.4" x14ac:dyDescent="0.3"/>
  <cols>
    <col min="1" max="1" width="15" customWidth="1"/>
  </cols>
  <sheetData>
    <row r="2" spans="2:2" ht="31.2" x14ac:dyDescent="0.3">
      <c r="B2" s="1" t="s">
        <v>0</v>
      </c>
    </row>
    <row r="3" spans="2:2" x14ac:dyDescent="0.3">
      <c r="B3" s="2" t="s">
        <v>1</v>
      </c>
    </row>
    <row r="5" spans="2:2" ht="18" x14ac:dyDescent="0.35">
      <c r="B5" s="3" t="s">
        <v>2</v>
      </c>
    </row>
    <row r="6" spans="2:2" x14ac:dyDescent="0.3">
      <c r="B6" s="4" t="s">
        <v>3</v>
      </c>
    </row>
    <row r="7" spans="2:2" x14ac:dyDescent="0.3">
      <c r="B7" s="4" t="s">
        <v>4</v>
      </c>
    </row>
    <row r="8" spans="2:2" x14ac:dyDescent="0.3">
      <c r="B8" s="4" t="s">
        <v>5</v>
      </c>
    </row>
    <row r="9" spans="2:2" x14ac:dyDescent="0.3">
      <c r="B9" s="4" t="s">
        <v>6</v>
      </c>
    </row>
    <row r="10" spans="2:2" x14ac:dyDescent="0.3">
      <c r="B10" s="4" t="s">
        <v>7</v>
      </c>
    </row>
    <row r="12" spans="2:2" ht="18" x14ac:dyDescent="0.35">
      <c r="B12" s="3" t="s">
        <v>8</v>
      </c>
    </row>
    <row r="13" spans="2:2" x14ac:dyDescent="0.3">
      <c r="B13" s="4" t="s">
        <v>9</v>
      </c>
    </row>
    <row r="14" spans="2:2" x14ac:dyDescent="0.3">
      <c r="B14" s="4" t="s">
        <v>10</v>
      </c>
    </row>
    <row r="15" spans="2:2" x14ac:dyDescent="0.3">
      <c r="B15" s="4" t="s">
        <v>11</v>
      </c>
    </row>
    <row r="17" spans="2:2" x14ac:dyDescent="0.3">
      <c r="B17" s="5" t="s">
        <v>12</v>
      </c>
    </row>
    <row r="20" spans="2:2" x14ac:dyDescent="0.3">
      <c r="B20" s="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9"/>
  <sheetViews>
    <sheetView showGridLines="0" workbookViewId="0">
      <selection activeCell="C11" sqref="C11"/>
    </sheetView>
  </sheetViews>
  <sheetFormatPr defaultRowHeight="14.4" x14ac:dyDescent="0.3"/>
  <cols>
    <col min="1" max="1" width="15" customWidth="1"/>
    <col min="2" max="3" width="20" customWidth="1"/>
    <col min="4" max="4" width="85.21875" bestFit="1" customWidth="1"/>
    <col min="5" max="5" width="20" customWidth="1"/>
  </cols>
  <sheetData>
    <row r="2" spans="2:5" ht="31.2" x14ac:dyDescent="0.3">
      <c r="B2" s="1" t="s">
        <v>14</v>
      </c>
    </row>
    <row r="3" spans="2:5" x14ac:dyDescent="0.3">
      <c r="B3" s="2" t="s">
        <v>15</v>
      </c>
    </row>
    <row r="5" spans="2:5" ht="18" x14ac:dyDescent="0.35">
      <c r="B5" s="3" t="s">
        <v>16</v>
      </c>
    </row>
    <row r="6" spans="2:5" x14ac:dyDescent="0.3">
      <c r="B6" s="4" t="s">
        <v>17</v>
      </c>
    </row>
    <row r="7" spans="2:5" x14ac:dyDescent="0.3">
      <c r="B7" s="4" t="s">
        <v>18</v>
      </c>
    </row>
    <row r="8" spans="2:5" x14ac:dyDescent="0.3">
      <c r="B8" s="4" t="s">
        <v>19</v>
      </c>
    </row>
    <row r="10" spans="2:5" x14ac:dyDescent="0.3">
      <c r="B10" s="7" t="s">
        <v>20</v>
      </c>
      <c r="C10" s="7"/>
    </row>
    <row r="11" spans="2:5" x14ac:dyDescent="0.3">
      <c r="B11" s="8" t="s">
        <v>21</v>
      </c>
      <c r="C11" s="13" t="s">
        <v>116</v>
      </c>
    </row>
    <row r="13" spans="2:5" x14ac:dyDescent="0.3">
      <c r="B13" s="7" t="s">
        <v>22</v>
      </c>
      <c r="C13" s="7"/>
      <c r="D13" s="7"/>
      <c r="E13" s="7"/>
    </row>
    <row r="14" spans="2:5" x14ac:dyDescent="0.3">
      <c r="B14" s="8" t="s">
        <v>21</v>
      </c>
      <c r="C14" s="8" t="s">
        <v>23</v>
      </c>
      <c r="D14" s="8" t="s">
        <v>24</v>
      </c>
      <c r="E14" s="8" t="s">
        <v>25</v>
      </c>
    </row>
    <row r="15" spans="2:5" x14ac:dyDescent="0.3">
      <c r="B15" s="9" t="s">
        <v>26</v>
      </c>
      <c r="C15" s="9" t="s">
        <v>27</v>
      </c>
      <c r="D15" s="9" t="s">
        <v>28</v>
      </c>
      <c r="E15" s="9" t="s">
        <v>29</v>
      </c>
    </row>
    <row r="16" spans="2:5" x14ac:dyDescent="0.3">
      <c r="B16" s="9" t="s">
        <v>30</v>
      </c>
      <c r="C16" s="9" t="s">
        <v>31</v>
      </c>
      <c r="D16" s="9" t="s">
        <v>32</v>
      </c>
      <c r="E16" s="9" t="s">
        <v>33</v>
      </c>
    </row>
    <row r="17" spans="2:5" x14ac:dyDescent="0.3">
      <c r="B17" s="9" t="s">
        <v>34</v>
      </c>
      <c r="C17" s="9" t="s">
        <v>35</v>
      </c>
      <c r="D17" s="9" t="s">
        <v>36</v>
      </c>
      <c r="E17" s="9" t="s">
        <v>37</v>
      </c>
    </row>
    <row r="19" spans="2:5" x14ac:dyDescent="0.3">
      <c r="B19" s="6" t="s">
        <v>13</v>
      </c>
    </row>
  </sheetData>
  <dataValidations count="1">
    <dataValidation type="list" allowBlank="1" sqref="C11" xr:uid="{00000000-0002-0000-0100-000000000000}">
      <formula1>"Proactive (6-12 months),Early Warning (3-6 months),Reactive (90 days)"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6"/>
  <sheetViews>
    <sheetView showGridLines="0" topLeftCell="A3" workbookViewId="0">
      <selection activeCell="C11" sqref="C11"/>
    </sheetView>
  </sheetViews>
  <sheetFormatPr defaultRowHeight="14.4" x14ac:dyDescent="0.3"/>
  <cols>
    <col min="1" max="1" width="15" customWidth="1"/>
    <col min="2" max="2" width="11.33203125" customWidth="1"/>
    <col min="3" max="3" width="15" customWidth="1"/>
    <col min="4" max="4" width="75.77734375" customWidth="1"/>
    <col min="5" max="6" width="25.77734375" customWidth="1"/>
  </cols>
  <sheetData>
    <row r="2" spans="2:6" ht="31.2" x14ac:dyDescent="0.3">
      <c r="B2" s="17" t="s">
        <v>38</v>
      </c>
      <c r="C2" s="17"/>
      <c r="D2" s="17"/>
      <c r="E2" s="17"/>
      <c r="F2" s="17"/>
    </row>
    <row r="3" spans="2:6" x14ac:dyDescent="0.3">
      <c r="B3" s="16" t="s">
        <v>39</v>
      </c>
      <c r="C3" s="16"/>
      <c r="D3" s="16"/>
      <c r="E3" s="16"/>
      <c r="F3" s="16"/>
    </row>
    <row r="5" spans="2:6" ht="18" x14ac:dyDescent="0.35">
      <c r="B5" s="3" t="s">
        <v>16</v>
      </c>
    </row>
    <row r="6" spans="2:6" x14ac:dyDescent="0.3">
      <c r="B6" s="15" t="s">
        <v>40</v>
      </c>
      <c r="C6" s="15"/>
      <c r="D6" s="15"/>
      <c r="E6" s="15"/>
      <c r="F6" s="15"/>
    </row>
    <row r="7" spans="2:6" x14ac:dyDescent="0.3">
      <c r="B7" s="15" t="s">
        <v>41</v>
      </c>
      <c r="C7" s="15"/>
      <c r="D7" s="15"/>
      <c r="E7" s="15"/>
      <c r="F7" s="15"/>
    </row>
    <row r="8" spans="2:6" x14ac:dyDescent="0.3">
      <c r="B8" s="15" t="s">
        <v>42</v>
      </c>
      <c r="C8" s="15"/>
      <c r="D8" s="15"/>
      <c r="E8" s="15"/>
      <c r="F8" s="15"/>
    </row>
    <row r="10" spans="2:6" x14ac:dyDescent="0.3">
      <c r="B10" s="20" t="s">
        <v>43</v>
      </c>
      <c r="C10" s="22"/>
    </row>
    <row r="11" spans="2:6" x14ac:dyDescent="0.3">
      <c r="B11" s="8" t="s">
        <v>44</v>
      </c>
      <c r="C11" s="13"/>
    </row>
    <row r="13" spans="2:6" x14ac:dyDescent="0.3">
      <c r="B13" s="20" t="s">
        <v>45</v>
      </c>
      <c r="C13" s="21"/>
      <c r="D13" s="21"/>
      <c r="E13" s="21"/>
      <c r="F13" s="22"/>
    </row>
    <row r="14" spans="2:6" x14ac:dyDescent="0.3">
      <c r="B14" s="18" t="s">
        <v>46</v>
      </c>
      <c r="C14" s="8" t="s">
        <v>47</v>
      </c>
      <c r="D14" s="8" t="s">
        <v>48</v>
      </c>
      <c r="E14" s="8" t="s">
        <v>49</v>
      </c>
      <c r="F14" s="8" t="s">
        <v>50</v>
      </c>
    </row>
    <row r="15" spans="2:6" x14ac:dyDescent="0.3">
      <c r="B15" s="19">
        <v>1</v>
      </c>
      <c r="C15" s="23"/>
      <c r="D15" s="14"/>
      <c r="E15" s="14"/>
      <c r="F15" s="14"/>
    </row>
    <row r="16" spans="2:6" x14ac:dyDescent="0.3">
      <c r="B16" s="19">
        <v>2</v>
      </c>
      <c r="C16" s="23"/>
      <c r="D16" s="14"/>
      <c r="E16" s="14"/>
      <c r="F16" s="14"/>
    </row>
    <row r="17" spans="2:6" x14ac:dyDescent="0.3">
      <c r="B17" s="19">
        <v>3</v>
      </c>
      <c r="C17" s="23"/>
      <c r="D17" s="14"/>
      <c r="E17" s="14"/>
      <c r="F17" s="14"/>
    </row>
    <row r="18" spans="2:6" x14ac:dyDescent="0.3">
      <c r="B18" s="19">
        <v>4</v>
      </c>
      <c r="C18" s="23"/>
      <c r="D18" s="14"/>
      <c r="E18" s="14"/>
      <c r="F18" s="14"/>
    </row>
    <row r="19" spans="2:6" x14ac:dyDescent="0.3">
      <c r="B19" s="19">
        <v>5</v>
      </c>
      <c r="C19" s="23"/>
      <c r="D19" s="14"/>
      <c r="E19" s="14"/>
      <c r="F19" s="14"/>
    </row>
    <row r="20" spans="2:6" x14ac:dyDescent="0.3">
      <c r="B20" s="19">
        <v>6</v>
      </c>
      <c r="C20" s="23"/>
      <c r="D20" s="14"/>
      <c r="E20" s="14"/>
      <c r="F20" s="14"/>
    </row>
    <row r="21" spans="2:6" x14ac:dyDescent="0.3">
      <c r="B21" s="19">
        <v>7</v>
      </c>
      <c r="C21" s="23"/>
      <c r="D21" s="14"/>
      <c r="E21" s="14"/>
      <c r="F21" s="14"/>
    </row>
    <row r="22" spans="2:6" x14ac:dyDescent="0.3">
      <c r="B22" s="19">
        <v>8</v>
      </c>
      <c r="C22" s="23"/>
      <c r="D22" s="14"/>
      <c r="E22" s="14"/>
      <c r="F22" s="14"/>
    </row>
    <row r="23" spans="2:6" x14ac:dyDescent="0.3">
      <c r="B23" s="19">
        <v>9</v>
      </c>
      <c r="C23" s="23"/>
      <c r="D23" s="14"/>
      <c r="E23" s="14"/>
      <c r="F23" s="14"/>
    </row>
    <row r="24" spans="2:6" x14ac:dyDescent="0.3">
      <c r="B24" s="19">
        <v>10</v>
      </c>
      <c r="C24" s="23"/>
      <c r="D24" s="14"/>
      <c r="E24" s="14"/>
      <c r="F24" s="14"/>
    </row>
    <row r="26" spans="2:6" x14ac:dyDescent="0.3">
      <c r="B26" s="6" t="s">
        <v>13</v>
      </c>
    </row>
  </sheetData>
  <mergeCells count="7">
    <mergeCell ref="B13:F13"/>
    <mergeCell ref="B10:C10"/>
    <mergeCell ref="B6:F6"/>
    <mergeCell ref="B7:F7"/>
    <mergeCell ref="B8:F8"/>
    <mergeCell ref="B3:F3"/>
    <mergeCell ref="B2:F2"/>
  </mergeCells>
  <dataValidations count="2">
    <dataValidation type="list" allowBlank="1" sqref="E15 E16 E17 E18 E19 E20 E21 E22 E23 E24" xr:uid="{00000000-0002-0000-0200-000000000000}">
      <formula1>"Questionnaire,Data request,Audit,Certification review,Contract renewal,Other"</formula1>
    </dataValidation>
    <dataValidation type="list" allowBlank="1" sqref="F15 F16 F17 F18 F19 F20 F21 F22 F23 F24" xr:uid="{00000000-0002-0000-0200-000001000000}">
      <formula1>"Confirmed,Expected,Possible,Completed"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3"/>
  <sheetViews>
    <sheetView showGridLines="0" tabSelected="1" workbookViewId="0">
      <selection activeCell="C41" sqref="C41"/>
    </sheetView>
  </sheetViews>
  <sheetFormatPr defaultRowHeight="14.4" x14ac:dyDescent="0.3"/>
  <cols>
    <col min="1" max="1" width="15" customWidth="1"/>
    <col min="2" max="2" width="10" customWidth="1"/>
    <col min="3" max="8" width="25.77734375" customWidth="1"/>
  </cols>
  <sheetData>
    <row r="2" spans="2:8" ht="31.2" x14ac:dyDescent="0.3">
      <c r="B2" s="1" t="s">
        <v>51</v>
      </c>
    </row>
    <row r="3" spans="2:8" x14ac:dyDescent="0.3">
      <c r="B3" s="2" t="s">
        <v>52</v>
      </c>
    </row>
    <row r="5" spans="2:8" ht="18" x14ac:dyDescent="0.35">
      <c r="B5" s="3" t="s">
        <v>16</v>
      </c>
    </row>
    <row r="6" spans="2:8" x14ac:dyDescent="0.3">
      <c r="B6" s="4" t="s">
        <v>53</v>
      </c>
    </row>
    <row r="7" spans="2:8" x14ac:dyDescent="0.3">
      <c r="B7" s="4" t="s">
        <v>54</v>
      </c>
    </row>
    <row r="8" spans="2:8" x14ac:dyDescent="0.3">
      <c r="B8" s="4" t="s">
        <v>55</v>
      </c>
    </row>
    <row r="10" spans="2:8" x14ac:dyDescent="0.3">
      <c r="B10" s="7" t="s">
        <v>56</v>
      </c>
      <c r="C10" s="7"/>
      <c r="D10" s="7"/>
      <c r="E10" s="7"/>
      <c r="F10" s="7"/>
      <c r="G10" s="7"/>
      <c r="H10" s="7"/>
    </row>
    <row r="11" spans="2:8" x14ac:dyDescent="0.3">
      <c r="B11" s="29" t="s">
        <v>57</v>
      </c>
      <c r="C11" s="30" t="s">
        <v>58</v>
      </c>
      <c r="D11" s="30" t="s">
        <v>59</v>
      </c>
      <c r="E11" s="30" t="s">
        <v>60</v>
      </c>
      <c r="F11" s="30" t="s">
        <v>61</v>
      </c>
      <c r="G11" s="30" t="s">
        <v>62</v>
      </c>
      <c r="H11" s="31" t="s">
        <v>63</v>
      </c>
    </row>
    <row r="12" spans="2:8" x14ac:dyDescent="0.3">
      <c r="B12" s="24"/>
      <c r="C12" s="14"/>
      <c r="D12" s="14"/>
      <c r="E12" s="14"/>
      <c r="F12" s="14"/>
      <c r="G12" s="14"/>
      <c r="H12" s="25"/>
    </row>
    <row r="13" spans="2:8" x14ac:dyDescent="0.3">
      <c r="B13" s="24"/>
      <c r="C13" s="14"/>
      <c r="D13" s="14"/>
      <c r="E13" s="14"/>
      <c r="F13" s="14"/>
      <c r="G13" s="14"/>
      <c r="H13" s="25"/>
    </row>
    <row r="14" spans="2:8" x14ac:dyDescent="0.3">
      <c r="B14" s="24"/>
      <c r="C14" s="14"/>
      <c r="D14" s="14"/>
      <c r="E14" s="14"/>
      <c r="F14" s="14"/>
      <c r="G14" s="14"/>
      <c r="H14" s="25"/>
    </row>
    <row r="15" spans="2:8" x14ac:dyDescent="0.3">
      <c r="B15" s="24"/>
      <c r="C15" s="14"/>
      <c r="D15" s="14"/>
      <c r="E15" s="14"/>
      <c r="F15" s="14"/>
      <c r="G15" s="14"/>
      <c r="H15" s="25"/>
    </row>
    <row r="16" spans="2:8" x14ac:dyDescent="0.3">
      <c r="B16" s="24"/>
      <c r="C16" s="14"/>
      <c r="D16" s="14"/>
      <c r="E16" s="14"/>
      <c r="F16" s="14"/>
      <c r="G16" s="14"/>
      <c r="H16" s="25"/>
    </row>
    <row r="17" spans="2:8" x14ac:dyDescent="0.3">
      <c r="B17" s="24"/>
      <c r="C17" s="14"/>
      <c r="D17" s="14"/>
      <c r="E17" s="14"/>
      <c r="F17" s="14"/>
      <c r="G17" s="14"/>
      <c r="H17" s="25"/>
    </row>
    <row r="18" spans="2:8" x14ac:dyDescent="0.3">
      <c r="B18" s="24"/>
      <c r="C18" s="14"/>
      <c r="D18" s="14"/>
      <c r="E18" s="14"/>
      <c r="F18" s="14"/>
      <c r="G18" s="14"/>
      <c r="H18" s="25"/>
    </row>
    <row r="19" spans="2:8" x14ac:dyDescent="0.3">
      <c r="B19" s="24"/>
      <c r="C19" s="14"/>
      <c r="D19" s="14"/>
      <c r="E19" s="14"/>
      <c r="F19" s="14"/>
      <c r="G19" s="14"/>
      <c r="H19" s="25"/>
    </row>
    <row r="20" spans="2:8" x14ac:dyDescent="0.3">
      <c r="B20" s="24"/>
      <c r="C20" s="14"/>
      <c r="D20" s="14"/>
      <c r="E20" s="14"/>
      <c r="F20" s="14"/>
      <c r="G20" s="14"/>
      <c r="H20" s="25"/>
    </row>
    <row r="21" spans="2:8" x14ac:dyDescent="0.3">
      <c r="B21" s="24"/>
      <c r="C21" s="14"/>
      <c r="D21" s="14"/>
      <c r="E21" s="14"/>
      <c r="F21" s="14"/>
      <c r="G21" s="14"/>
      <c r="H21" s="25"/>
    </row>
    <row r="22" spans="2:8" x14ac:dyDescent="0.3">
      <c r="B22" s="24"/>
      <c r="C22" s="14"/>
      <c r="D22" s="14"/>
      <c r="E22" s="14"/>
      <c r="F22" s="14"/>
      <c r="G22" s="14"/>
      <c r="H22" s="25"/>
    </row>
    <row r="23" spans="2:8" x14ac:dyDescent="0.3">
      <c r="B23" s="24"/>
      <c r="C23" s="14"/>
      <c r="D23" s="14"/>
      <c r="E23" s="14"/>
      <c r="F23" s="14"/>
      <c r="G23" s="14"/>
      <c r="H23" s="25"/>
    </row>
    <row r="24" spans="2:8" x14ac:dyDescent="0.3">
      <c r="B24" s="24"/>
      <c r="C24" s="14"/>
      <c r="D24" s="14"/>
      <c r="E24" s="14"/>
      <c r="F24" s="14"/>
      <c r="G24" s="14"/>
      <c r="H24" s="25"/>
    </row>
    <row r="25" spans="2:8" x14ac:dyDescent="0.3">
      <c r="B25" s="24"/>
      <c r="C25" s="14"/>
      <c r="D25" s="14"/>
      <c r="E25" s="14"/>
      <c r="F25" s="14"/>
      <c r="G25" s="14"/>
      <c r="H25" s="25"/>
    </row>
    <row r="26" spans="2:8" x14ac:dyDescent="0.3">
      <c r="B26" s="24"/>
      <c r="C26" s="14"/>
      <c r="D26" s="14"/>
      <c r="E26" s="14"/>
      <c r="F26" s="14"/>
      <c r="G26" s="14"/>
      <c r="H26" s="25"/>
    </row>
    <row r="27" spans="2:8" x14ac:dyDescent="0.3">
      <c r="B27" s="24"/>
      <c r="C27" s="14"/>
      <c r="D27" s="14"/>
      <c r="E27" s="14"/>
      <c r="F27" s="14"/>
      <c r="G27" s="14"/>
      <c r="H27" s="25"/>
    </row>
    <row r="28" spans="2:8" x14ac:dyDescent="0.3">
      <c r="B28" s="24"/>
      <c r="C28" s="14"/>
      <c r="D28" s="14"/>
      <c r="E28" s="14"/>
      <c r="F28" s="14"/>
      <c r="G28" s="14"/>
      <c r="H28" s="25"/>
    </row>
    <row r="29" spans="2:8" x14ac:dyDescent="0.3">
      <c r="B29" s="24"/>
      <c r="C29" s="14"/>
      <c r="D29" s="14"/>
      <c r="E29" s="14"/>
      <c r="F29" s="14"/>
      <c r="G29" s="14"/>
      <c r="H29" s="25"/>
    </row>
    <row r="30" spans="2:8" x14ac:dyDescent="0.3">
      <c r="B30" s="24"/>
      <c r="C30" s="14"/>
      <c r="D30" s="14"/>
      <c r="E30" s="14"/>
      <c r="F30" s="14"/>
      <c r="G30" s="14"/>
      <c r="H30" s="25"/>
    </row>
    <row r="31" spans="2:8" x14ac:dyDescent="0.3">
      <c r="B31" s="26"/>
      <c r="C31" s="27"/>
      <c r="D31" s="27"/>
      <c r="E31" s="27"/>
      <c r="F31" s="27"/>
      <c r="G31" s="27"/>
      <c r="H31" s="28"/>
    </row>
    <row r="33" spans="2:2" x14ac:dyDescent="0.3">
      <c r="B33" s="6" t="s">
        <v>13</v>
      </c>
    </row>
  </sheetData>
  <dataValidations count="1">
    <dataValidation type="list" allowBlank="1" sqref="E12 E13 E14 E15 E16 E17 E18 E19 E20 E21 E22 E23 E24 E25 E26 E27 E28 E29 E30 E31" xr:uid="{00000000-0002-0000-0300-000000000000}">
      <formula1>"Q1: DO FIRST,Q2: PLAN CAREFULLY,Q3: WHEN TIME ALLOWS,Q4: DEFER"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3"/>
  <sheetViews>
    <sheetView showGridLines="0" topLeftCell="A25" workbookViewId="0">
      <selection activeCell="B33" sqref="B33"/>
    </sheetView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2" customWidth="1"/>
    <col min="5" max="7" width="20" customWidth="1"/>
    <col min="8" max="8" width="16.77734375" customWidth="1"/>
    <col min="9" max="9" width="10" customWidth="1"/>
    <col min="10" max="10" width="15" customWidth="1"/>
    <col min="11" max="11" width="20" customWidth="1"/>
  </cols>
  <sheetData>
    <row r="2" spans="2:11" ht="31.2" x14ac:dyDescent="0.3">
      <c r="B2" s="1" t="s">
        <v>64</v>
      </c>
    </row>
    <row r="3" spans="2:11" x14ac:dyDescent="0.3">
      <c r="B3" s="2" t="s">
        <v>65</v>
      </c>
    </row>
    <row r="5" spans="2:11" ht="18" x14ac:dyDescent="0.35">
      <c r="B5" s="3" t="s">
        <v>16</v>
      </c>
    </row>
    <row r="6" spans="2:11" x14ac:dyDescent="0.3">
      <c r="B6" s="4" t="s">
        <v>66</v>
      </c>
    </row>
    <row r="7" spans="2:11" x14ac:dyDescent="0.3">
      <c r="B7" s="4" t="s">
        <v>67</v>
      </c>
    </row>
    <row r="8" spans="2:11" x14ac:dyDescent="0.3">
      <c r="B8" s="4" t="s">
        <v>68</v>
      </c>
    </row>
    <row r="10" spans="2:11" x14ac:dyDescent="0.3">
      <c r="B10" s="7" t="s">
        <v>69</v>
      </c>
      <c r="C10" s="7"/>
      <c r="D10" s="7"/>
      <c r="E10" s="7"/>
      <c r="F10" s="7"/>
      <c r="G10" s="7"/>
      <c r="H10" s="7"/>
      <c r="I10" s="7"/>
      <c r="J10" s="7"/>
      <c r="K10" s="7"/>
    </row>
    <row r="11" spans="2:11" x14ac:dyDescent="0.3">
      <c r="B11" s="29" t="s">
        <v>57</v>
      </c>
      <c r="C11" s="30" t="s">
        <v>59</v>
      </c>
      <c r="D11" s="30" t="s">
        <v>44</v>
      </c>
      <c r="E11" s="30" t="s">
        <v>70</v>
      </c>
      <c r="F11" s="30" t="s">
        <v>71</v>
      </c>
      <c r="G11" s="30" t="s">
        <v>72</v>
      </c>
      <c r="H11" s="31" t="s">
        <v>73</v>
      </c>
      <c r="I11" s="29" t="s">
        <v>74</v>
      </c>
      <c r="J11" s="30" t="s">
        <v>75</v>
      </c>
      <c r="K11" s="30" t="s">
        <v>76</v>
      </c>
    </row>
    <row r="12" spans="2:11" x14ac:dyDescent="0.3">
      <c r="B12" s="24"/>
      <c r="C12" s="14"/>
      <c r="D12" s="14"/>
      <c r="E12" s="14"/>
      <c r="F12" s="14"/>
      <c r="G12" s="14"/>
      <c r="H12" s="14"/>
      <c r="I12" s="14"/>
      <c r="J12" s="14"/>
      <c r="K12" s="25"/>
    </row>
    <row r="13" spans="2:11" x14ac:dyDescent="0.3">
      <c r="B13" s="24"/>
      <c r="C13" s="14"/>
      <c r="D13" s="14"/>
      <c r="E13" s="14"/>
      <c r="F13" s="14"/>
      <c r="G13" s="14"/>
      <c r="H13" s="14"/>
      <c r="I13" s="14"/>
      <c r="J13" s="14"/>
      <c r="K13" s="25"/>
    </row>
    <row r="14" spans="2:11" x14ac:dyDescent="0.3">
      <c r="B14" s="24"/>
      <c r="C14" s="14"/>
      <c r="D14" s="14"/>
      <c r="E14" s="14"/>
      <c r="F14" s="14"/>
      <c r="G14" s="14"/>
      <c r="H14" s="14"/>
      <c r="I14" s="14"/>
      <c r="J14" s="14"/>
      <c r="K14" s="25"/>
    </row>
    <row r="15" spans="2:11" x14ac:dyDescent="0.3">
      <c r="B15" s="24"/>
      <c r="C15" s="14"/>
      <c r="D15" s="14"/>
      <c r="E15" s="14"/>
      <c r="F15" s="14"/>
      <c r="G15" s="14"/>
      <c r="H15" s="14"/>
      <c r="I15" s="14"/>
      <c r="J15" s="14"/>
      <c r="K15" s="25"/>
    </row>
    <row r="16" spans="2:11" x14ac:dyDescent="0.3">
      <c r="B16" s="24"/>
      <c r="C16" s="14"/>
      <c r="D16" s="14"/>
      <c r="E16" s="14"/>
      <c r="F16" s="14"/>
      <c r="G16" s="14"/>
      <c r="H16" s="14"/>
      <c r="I16" s="14"/>
      <c r="J16" s="14"/>
      <c r="K16" s="25"/>
    </row>
    <row r="17" spans="2:11" x14ac:dyDescent="0.3">
      <c r="B17" s="24"/>
      <c r="C17" s="14"/>
      <c r="D17" s="14"/>
      <c r="E17" s="14"/>
      <c r="F17" s="14"/>
      <c r="G17" s="14"/>
      <c r="H17" s="14"/>
      <c r="I17" s="14"/>
      <c r="J17" s="14"/>
      <c r="K17" s="25"/>
    </row>
    <row r="18" spans="2:11" x14ac:dyDescent="0.3">
      <c r="B18" s="24"/>
      <c r="C18" s="14"/>
      <c r="D18" s="14"/>
      <c r="E18" s="14"/>
      <c r="F18" s="14"/>
      <c r="G18" s="14"/>
      <c r="H18" s="14"/>
      <c r="I18" s="14"/>
      <c r="J18" s="14"/>
      <c r="K18" s="25"/>
    </row>
    <row r="19" spans="2:11" x14ac:dyDescent="0.3">
      <c r="B19" s="24"/>
      <c r="C19" s="14"/>
      <c r="D19" s="14"/>
      <c r="E19" s="14"/>
      <c r="F19" s="14"/>
      <c r="G19" s="14"/>
      <c r="H19" s="14"/>
      <c r="I19" s="14"/>
      <c r="J19" s="14"/>
      <c r="K19" s="25"/>
    </row>
    <row r="20" spans="2:11" x14ac:dyDescent="0.3">
      <c r="B20" s="24"/>
      <c r="C20" s="14"/>
      <c r="D20" s="14"/>
      <c r="E20" s="14"/>
      <c r="F20" s="14"/>
      <c r="G20" s="14"/>
      <c r="H20" s="14"/>
      <c r="I20" s="14"/>
      <c r="J20" s="14"/>
      <c r="K20" s="25"/>
    </row>
    <row r="21" spans="2:11" x14ac:dyDescent="0.3">
      <c r="B21" s="24"/>
      <c r="C21" s="14"/>
      <c r="D21" s="14"/>
      <c r="E21" s="14"/>
      <c r="F21" s="14"/>
      <c r="G21" s="14"/>
      <c r="H21" s="14"/>
      <c r="I21" s="14"/>
      <c r="J21" s="14"/>
      <c r="K21" s="25"/>
    </row>
    <row r="22" spans="2:11" x14ac:dyDescent="0.3">
      <c r="B22" s="24"/>
      <c r="C22" s="14"/>
      <c r="D22" s="14"/>
      <c r="E22" s="14"/>
      <c r="F22" s="14"/>
      <c r="G22" s="14"/>
      <c r="H22" s="14"/>
      <c r="I22" s="14"/>
      <c r="J22" s="14"/>
      <c r="K22" s="25"/>
    </row>
    <row r="23" spans="2:11" x14ac:dyDescent="0.3">
      <c r="B23" s="24"/>
      <c r="C23" s="14"/>
      <c r="D23" s="14"/>
      <c r="E23" s="14"/>
      <c r="F23" s="14"/>
      <c r="G23" s="14"/>
      <c r="H23" s="14"/>
      <c r="I23" s="14"/>
      <c r="J23" s="14"/>
      <c r="K23" s="25"/>
    </row>
    <row r="24" spans="2:11" x14ac:dyDescent="0.3">
      <c r="B24" s="24"/>
      <c r="C24" s="14"/>
      <c r="D24" s="14"/>
      <c r="E24" s="14"/>
      <c r="F24" s="14"/>
      <c r="G24" s="14"/>
      <c r="H24" s="14"/>
      <c r="I24" s="14"/>
      <c r="J24" s="14"/>
      <c r="K24" s="25"/>
    </row>
    <row r="25" spans="2:11" x14ac:dyDescent="0.3">
      <c r="B25" s="24"/>
      <c r="C25" s="14"/>
      <c r="D25" s="14"/>
      <c r="E25" s="14"/>
      <c r="F25" s="14"/>
      <c r="G25" s="14"/>
      <c r="H25" s="14"/>
      <c r="I25" s="14"/>
      <c r="J25" s="14"/>
      <c r="K25" s="25"/>
    </row>
    <row r="26" spans="2:11" x14ac:dyDescent="0.3">
      <c r="B26" s="24"/>
      <c r="C26" s="14"/>
      <c r="D26" s="14"/>
      <c r="E26" s="14"/>
      <c r="F26" s="14"/>
      <c r="G26" s="14"/>
      <c r="H26" s="14"/>
      <c r="I26" s="14"/>
      <c r="J26" s="14"/>
      <c r="K26" s="25"/>
    </row>
    <row r="27" spans="2:11" x14ac:dyDescent="0.3">
      <c r="B27" s="24"/>
      <c r="C27" s="14"/>
      <c r="D27" s="14"/>
      <c r="E27" s="14"/>
      <c r="F27" s="14"/>
      <c r="G27" s="14"/>
      <c r="H27" s="14"/>
      <c r="I27" s="14"/>
      <c r="J27" s="14"/>
      <c r="K27" s="25"/>
    </row>
    <row r="28" spans="2:11" x14ac:dyDescent="0.3">
      <c r="B28" s="24"/>
      <c r="C28" s="14"/>
      <c r="D28" s="14"/>
      <c r="E28" s="14"/>
      <c r="F28" s="14"/>
      <c r="G28" s="14"/>
      <c r="H28" s="14"/>
      <c r="I28" s="14"/>
      <c r="J28" s="14"/>
      <c r="K28" s="25"/>
    </row>
    <row r="29" spans="2:11" x14ac:dyDescent="0.3">
      <c r="B29" s="24"/>
      <c r="C29" s="14"/>
      <c r="D29" s="14"/>
      <c r="E29" s="14"/>
      <c r="F29" s="14"/>
      <c r="G29" s="14"/>
      <c r="H29" s="14"/>
      <c r="I29" s="14"/>
      <c r="J29" s="14"/>
      <c r="K29" s="25"/>
    </row>
    <row r="30" spans="2:11" x14ac:dyDescent="0.3">
      <c r="B30" s="24"/>
      <c r="C30" s="14"/>
      <c r="D30" s="14"/>
      <c r="E30" s="14"/>
      <c r="F30" s="14"/>
      <c r="G30" s="14"/>
      <c r="H30" s="14"/>
      <c r="I30" s="14"/>
      <c r="J30" s="14"/>
      <c r="K30" s="25"/>
    </row>
    <row r="31" spans="2:11" x14ac:dyDescent="0.3">
      <c r="B31" s="26"/>
      <c r="C31" s="27"/>
      <c r="D31" s="27"/>
      <c r="E31" s="27"/>
      <c r="F31" s="27"/>
      <c r="G31" s="27"/>
      <c r="H31" s="27"/>
      <c r="I31" s="27"/>
      <c r="J31" s="27"/>
      <c r="K31" s="28"/>
    </row>
    <row r="33" spans="2:2" x14ac:dyDescent="0.3">
      <c r="B33" s="6" t="s">
        <v>13</v>
      </c>
    </row>
  </sheetData>
  <dataValidations count="1">
    <dataValidation type="list" allowBlank="1" sqref="I12 I13 I14 I15 I16 I17 I18 I19 I20 I21 I22 I23 I24 I25 I26 I27 I28 I29 I30 I31" xr:uid="{00000000-0002-0000-0400-000000000000}">
      <formula1>"Phase 1,Phase 2,Phase 3"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37"/>
  <sheetViews>
    <sheetView showGridLines="0" topLeftCell="A23" workbookViewId="0">
      <selection activeCell="B37" sqref="B37"/>
    </sheetView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2.5546875" customWidth="1"/>
    <col min="5" max="5" width="15" customWidth="1"/>
    <col min="6" max="6" width="12.88671875" customWidth="1"/>
    <col min="7" max="7" width="16.21875" customWidth="1"/>
    <col min="8" max="8" width="12" customWidth="1"/>
    <col min="9" max="9" width="20" customWidth="1"/>
    <col min="10" max="10" width="14" customWidth="1"/>
    <col min="11" max="11" width="20" customWidth="1"/>
  </cols>
  <sheetData>
    <row r="2" spans="2:11" ht="31.2" x14ac:dyDescent="0.3">
      <c r="B2" s="1" t="s">
        <v>77</v>
      </c>
    </row>
    <row r="3" spans="2:11" x14ac:dyDescent="0.3">
      <c r="B3" s="2" t="s">
        <v>78</v>
      </c>
    </row>
    <row r="5" spans="2:11" ht="18" x14ac:dyDescent="0.35">
      <c r="B5" s="3" t="s">
        <v>16</v>
      </c>
    </row>
    <row r="6" spans="2:11" x14ac:dyDescent="0.3">
      <c r="B6" s="4" t="s">
        <v>79</v>
      </c>
    </row>
    <row r="7" spans="2:11" x14ac:dyDescent="0.3">
      <c r="B7" s="4" t="s">
        <v>80</v>
      </c>
    </row>
    <row r="8" spans="2:11" x14ac:dyDescent="0.3">
      <c r="B8" s="4" t="s">
        <v>81</v>
      </c>
    </row>
    <row r="10" spans="2:11" x14ac:dyDescent="0.3">
      <c r="B10" s="7" t="s">
        <v>82</v>
      </c>
      <c r="C10" s="7"/>
      <c r="D10" s="7"/>
      <c r="E10" s="7"/>
      <c r="F10" s="7"/>
    </row>
    <row r="11" spans="2:11" x14ac:dyDescent="0.3">
      <c r="B11" s="8" t="s">
        <v>83</v>
      </c>
      <c r="C11" s="8" t="s">
        <v>84</v>
      </c>
      <c r="D11" s="8" t="s">
        <v>85</v>
      </c>
      <c r="E11" s="8" t="s">
        <v>86</v>
      </c>
      <c r="F11" s="8" t="s">
        <v>87</v>
      </c>
    </row>
    <row r="12" spans="2:11" x14ac:dyDescent="0.3">
      <c r="B12" s="11">
        <f>COUNTA(B16:B35)</f>
        <v>20</v>
      </c>
      <c r="C12" s="11">
        <f>COUNTIF(E16:E35,"Complete")</f>
        <v>0</v>
      </c>
      <c r="D12" s="11">
        <f>COUNTIF(H16:H35,"OK")</f>
        <v>0</v>
      </c>
      <c r="E12" s="11">
        <f>COUNTIF(H16:H35,"⚠ AT RISK")</f>
        <v>0</v>
      </c>
      <c r="F12" s="11">
        <f>COUNTIF(H16:H35,"✗ OVERDUE")</f>
        <v>0</v>
      </c>
    </row>
    <row r="14" spans="2:11" x14ac:dyDescent="0.3">
      <c r="B14" s="7" t="s">
        <v>88</v>
      </c>
      <c r="C14" s="7"/>
      <c r="D14" s="7"/>
      <c r="E14" s="7"/>
      <c r="F14" s="7"/>
      <c r="G14" s="7"/>
      <c r="H14" s="7"/>
      <c r="I14" s="7"/>
      <c r="J14" s="7"/>
      <c r="K14" s="7"/>
    </row>
    <row r="15" spans="2:11" x14ac:dyDescent="0.3">
      <c r="B15" s="29" t="s">
        <v>57</v>
      </c>
      <c r="C15" s="30" t="s">
        <v>59</v>
      </c>
      <c r="D15" s="30" t="s">
        <v>89</v>
      </c>
      <c r="E15" s="30" t="s">
        <v>50</v>
      </c>
      <c r="F15" s="30" t="s">
        <v>90</v>
      </c>
      <c r="G15" s="30" t="s">
        <v>91</v>
      </c>
      <c r="H15" s="30" t="s">
        <v>92</v>
      </c>
      <c r="I15" s="30" t="s">
        <v>93</v>
      </c>
      <c r="J15" s="30" t="s">
        <v>94</v>
      </c>
      <c r="K15" s="31" t="s">
        <v>76</v>
      </c>
    </row>
    <row r="16" spans="2:11" x14ac:dyDescent="0.3">
      <c r="B16" s="35" t="str">
        <f>IF('Milestone Mapping'!B12="","",'Milestone Mapping'!B12)</f>
        <v/>
      </c>
      <c r="C16" s="12" t="str">
        <f>IF('Milestone Mapping'!C12="","",'Milestone Mapping'!C12)</f>
        <v/>
      </c>
      <c r="D16" s="12" t="str">
        <f>IF('Milestone Mapping'!H12="","",'Milestone Mapping'!H12)</f>
        <v/>
      </c>
      <c r="E16" s="10"/>
      <c r="F16" s="10"/>
      <c r="G16" s="12" t="str">
        <f t="shared" ref="G16:G35" ca="1" si="0">IF(D16="","",IF(D16&lt;TODAY(),"OVERDUE",D16-TODAY()))</f>
        <v/>
      </c>
      <c r="H16" s="12" t="str">
        <f t="shared" ref="H16:H35" si="1">IF(E16="","",IF(E16="Complete","✓",IF(G16="OVERDUE","✗ OVERDUE",IF(AND(G16&lt;14,F16&lt;50),"⚠ AT RISK",IF(AND(G16&lt;7,F16&lt;80),"⚠ AT RISK","OK")))))</f>
        <v/>
      </c>
      <c r="I16" s="10"/>
      <c r="J16" s="10"/>
      <c r="K16" s="32"/>
    </row>
    <row r="17" spans="2:11" x14ac:dyDescent="0.3">
      <c r="B17" s="35" t="str">
        <f>IF('Milestone Mapping'!B13="","",'Milestone Mapping'!B13)</f>
        <v/>
      </c>
      <c r="C17" s="12" t="str">
        <f>IF('Milestone Mapping'!C13="","",'Milestone Mapping'!C13)</f>
        <v/>
      </c>
      <c r="D17" s="12" t="str">
        <f>IF('Milestone Mapping'!H13="","",'Milestone Mapping'!H13)</f>
        <v/>
      </c>
      <c r="E17" s="10"/>
      <c r="F17" s="10"/>
      <c r="G17" s="12" t="str">
        <f t="shared" ca="1" si="0"/>
        <v/>
      </c>
      <c r="H17" s="12" t="str">
        <f t="shared" si="1"/>
        <v/>
      </c>
      <c r="I17" s="10"/>
      <c r="J17" s="10"/>
      <c r="K17" s="32"/>
    </row>
    <row r="18" spans="2:11" x14ac:dyDescent="0.3">
      <c r="B18" s="35" t="str">
        <f>IF('Milestone Mapping'!B14="","",'Milestone Mapping'!B14)</f>
        <v/>
      </c>
      <c r="C18" s="12" t="str">
        <f>IF('Milestone Mapping'!C14="","",'Milestone Mapping'!C14)</f>
        <v/>
      </c>
      <c r="D18" s="12" t="str">
        <f>IF('Milestone Mapping'!H14="","",'Milestone Mapping'!H14)</f>
        <v/>
      </c>
      <c r="E18" s="10"/>
      <c r="F18" s="10"/>
      <c r="G18" s="12" t="str">
        <f t="shared" ca="1" si="0"/>
        <v/>
      </c>
      <c r="H18" s="12" t="str">
        <f t="shared" si="1"/>
        <v/>
      </c>
      <c r="I18" s="10"/>
      <c r="J18" s="10"/>
      <c r="K18" s="32"/>
    </row>
    <row r="19" spans="2:11" x14ac:dyDescent="0.3">
      <c r="B19" s="35" t="str">
        <f>IF('Milestone Mapping'!B15="","",'Milestone Mapping'!B15)</f>
        <v/>
      </c>
      <c r="C19" s="12" t="str">
        <f>IF('Milestone Mapping'!C15="","",'Milestone Mapping'!C15)</f>
        <v/>
      </c>
      <c r="D19" s="12" t="str">
        <f>IF('Milestone Mapping'!H15="","",'Milestone Mapping'!H15)</f>
        <v/>
      </c>
      <c r="E19" s="10"/>
      <c r="F19" s="10"/>
      <c r="G19" s="12" t="str">
        <f t="shared" ca="1" si="0"/>
        <v/>
      </c>
      <c r="H19" s="12" t="str">
        <f t="shared" si="1"/>
        <v/>
      </c>
      <c r="I19" s="10"/>
      <c r="J19" s="10"/>
      <c r="K19" s="32"/>
    </row>
    <row r="20" spans="2:11" x14ac:dyDescent="0.3">
      <c r="B20" s="35" t="str">
        <f>IF('Milestone Mapping'!B16="","",'Milestone Mapping'!B16)</f>
        <v/>
      </c>
      <c r="C20" s="12" t="str">
        <f>IF('Milestone Mapping'!C16="","",'Milestone Mapping'!C16)</f>
        <v/>
      </c>
      <c r="D20" s="12" t="str">
        <f>IF('Milestone Mapping'!H16="","",'Milestone Mapping'!H16)</f>
        <v/>
      </c>
      <c r="E20" s="10"/>
      <c r="F20" s="10"/>
      <c r="G20" s="12" t="str">
        <f t="shared" ca="1" si="0"/>
        <v/>
      </c>
      <c r="H20" s="12" t="str">
        <f t="shared" si="1"/>
        <v/>
      </c>
      <c r="I20" s="10"/>
      <c r="J20" s="10"/>
      <c r="K20" s="32"/>
    </row>
    <row r="21" spans="2:11" x14ac:dyDescent="0.3">
      <c r="B21" s="35" t="str">
        <f>IF('Milestone Mapping'!B17="","",'Milestone Mapping'!B17)</f>
        <v/>
      </c>
      <c r="C21" s="12" t="str">
        <f>IF('Milestone Mapping'!C17="","",'Milestone Mapping'!C17)</f>
        <v/>
      </c>
      <c r="D21" s="12" t="str">
        <f>IF('Milestone Mapping'!H17="","",'Milestone Mapping'!H17)</f>
        <v/>
      </c>
      <c r="E21" s="10"/>
      <c r="F21" s="10"/>
      <c r="G21" s="12" t="str">
        <f t="shared" ca="1" si="0"/>
        <v/>
      </c>
      <c r="H21" s="12" t="str">
        <f t="shared" si="1"/>
        <v/>
      </c>
      <c r="I21" s="10"/>
      <c r="J21" s="10"/>
      <c r="K21" s="32"/>
    </row>
    <row r="22" spans="2:11" x14ac:dyDescent="0.3">
      <c r="B22" s="35" t="str">
        <f>IF('Milestone Mapping'!B18="","",'Milestone Mapping'!B18)</f>
        <v/>
      </c>
      <c r="C22" s="12" t="str">
        <f>IF('Milestone Mapping'!C18="","",'Milestone Mapping'!C18)</f>
        <v/>
      </c>
      <c r="D22" s="12" t="str">
        <f>IF('Milestone Mapping'!H18="","",'Milestone Mapping'!H18)</f>
        <v/>
      </c>
      <c r="E22" s="10"/>
      <c r="F22" s="10"/>
      <c r="G22" s="12" t="str">
        <f t="shared" ca="1" si="0"/>
        <v/>
      </c>
      <c r="H22" s="12" t="str">
        <f t="shared" si="1"/>
        <v/>
      </c>
      <c r="I22" s="10"/>
      <c r="J22" s="10"/>
      <c r="K22" s="32"/>
    </row>
    <row r="23" spans="2:11" x14ac:dyDescent="0.3">
      <c r="B23" s="35" t="str">
        <f>IF('Milestone Mapping'!B19="","",'Milestone Mapping'!B19)</f>
        <v/>
      </c>
      <c r="C23" s="12" t="str">
        <f>IF('Milestone Mapping'!C19="","",'Milestone Mapping'!C19)</f>
        <v/>
      </c>
      <c r="D23" s="12" t="str">
        <f>IF('Milestone Mapping'!H19="","",'Milestone Mapping'!H19)</f>
        <v/>
      </c>
      <c r="E23" s="10"/>
      <c r="F23" s="10"/>
      <c r="G23" s="12" t="str">
        <f t="shared" ca="1" si="0"/>
        <v/>
      </c>
      <c r="H23" s="12" t="str">
        <f t="shared" si="1"/>
        <v/>
      </c>
      <c r="I23" s="10"/>
      <c r="J23" s="10"/>
      <c r="K23" s="32"/>
    </row>
    <row r="24" spans="2:11" x14ac:dyDescent="0.3">
      <c r="B24" s="35" t="str">
        <f>IF('Milestone Mapping'!B20="","",'Milestone Mapping'!B20)</f>
        <v/>
      </c>
      <c r="C24" s="12" t="str">
        <f>IF('Milestone Mapping'!C20="","",'Milestone Mapping'!C20)</f>
        <v/>
      </c>
      <c r="D24" s="12" t="str">
        <f>IF('Milestone Mapping'!H20="","",'Milestone Mapping'!H20)</f>
        <v/>
      </c>
      <c r="E24" s="10"/>
      <c r="F24" s="10"/>
      <c r="G24" s="12" t="str">
        <f t="shared" ca="1" si="0"/>
        <v/>
      </c>
      <c r="H24" s="12" t="str">
        <f t="shared" si="1"/>
        <v/>
      </c>
      <c r="I24" s="10"/>
      <c r="J24" s="10"/>
      <c r="K24" s="32"/>
    </row>
    <row r="25" spans="2:11" x14ac:dyDescent="0.3">
      <c r="B25" s="35" t="str">
        <f>IF('Milestone Mapping'!B21="","",'Milestone Mapping'!B21)</f>
        <v/>
      </c>
      <c r="C25" s="12" t="str">
        <f>IF('Milestone Mapping'!C21="","",'Milestone Mapping'!C21)</f>
        <v/>
      </c>
      <c r="D25" s="12" t="str">
        <f>IF('Milestone Mapping'!H21="","",'Milestone Mapping'!H21)</f>
        <v/>
      </c>
      <c r="E25" s="10"/>
      <c r="F25" s="10"/>
      <c r="G25" s="12" t="str">
        <f t="shared" ca="1" si="0"/>
        <v/>
      </c>
      <c r="H25" s="12" t="str">
        <f t="shared" si="1"/>
        <v/>
      </c>
      <c r="I25" s="10"/>
      <c r="J25" s="10"/>
      <c r="K25" s="32"/>
    </row>
    <row r="26" spans="2:11" x14ac:dyDescent="0.3">
      <c r="B26" s="35" t="str">
        <f>IF('Milestone Mapping'!B22="","",'Milestone Mapping'!B22)</f>
        <v/>
      </c>
      <c r="C26" s="12" t="str">
        <f>IF('Milestone Mapping'!C22="","",'Milestone Mapping'!C22)</f>
        <v/>
      </c>
      <c r="D26" s="12" t="str">
        <f>IF('Milestone Mapping'!H22="","",'Milestone Mapping'!H22)</f>
        <v/>
      </c>
      <c r="E26" s="10"/>
      <c r="F26" s="10"/>
      <c r="G26" s="12" t="str">
        <f t="shared" ca="1" si="0"/>
        <v/>
      </c>
      <c r="H26" s="12" t="str">
        <f t="shared" si="1"/>
        <v/>
      </c>
      <c r="I26" s="10"/>
      <c r="J26" s="10"/>
      <c r="K26" s="32"/>
    </row>
    <row r="27" spans="2:11" x14ac:dyDescent="0.3">
      <c r="B27" s="35" t="str">
        <f>IF('Milestone Mapping'!B23="","",'Milestone Mapping'!B23)</f>
        <v/>
      </c>
      <c r="C27" s="12" t="str">
        <f>IF('Milestone Mapping'!C23="","",'Milestone Mapping'!C23)</f>
        <v/>
      </c>
      <c r="D27" s="12" t="str">
        <f>IF('Milestone Mapping'!H23="","",'Milestone Mapping'!H23)</f>
        <v/>
      </c>
      <c r="E27" s="10"/>
      <c r="F27" s="10"/>
      <c r="G27" s="12" t="str">
        <f t="shared" ca="1" si="0"/>
        <v/>
      </c>
      <c r="H27" s="12" t="str">
        <f t="shared" si="1"/>
        <v/>
      </c>
      <c r="I27" s="10"/>
      <c r="J27" s="10"/>
      <c r="K27" s="32"/>
    </row>
    <row r="28" spans="2:11" x14ac:dyDescent="0.3">
      <c r="B28" s="35" t="str">
        <f>IF('Milestone Mapping'!B24="","",'Milestone Mapping'!B24)</f>
        <v/>
      </c>
      <c r="C28" s="12" t="str">
        <f>IF('Milestone Mapping'!C24="","",'Milestone Mapping'!C24)</f>
        <v/>
      </c>
      <c r="D28" s="12" t="str">
        <f>IF('Milestone Mapping'!H24="","",'Milestone Mapping'!H24)</f>
        <v/>
      </c>
      <c r="E28" s="10"/>
      <c r="F28" s="10"/>
      <c r="G28" s="12" t="str">
        <f t="shared" ca="1" si="0"/>
        <v/>
      </c>
      <c r="H28" s="12" t="str">
        <f t="shared" si="1"/>
        <v/>
      </c>
      <c r="I28" s="10"/>
      <c r="J28" s="10"/>
      <c r="K28" s="32"/>
    </row>
    <row r="29" spans="2:11" x14ac:dyDescent="0.3">
      <c r="B29" s="35" t="str">
        <f>IF('Milestone Mapping'!B25="","",'Milestone Mapping'!B25)</f>
        <v/>
      </c>
      <c r="C29" s="12" t="str">
        <f>IF('Milestone Mapping'!C25="","",'Milestone Mapping'!C25)</f>
        <v/>
      </c>
      <c r="D29" s="12" t="str">
        <f>IF('Milestone Mapping'!H25="","",'Milestone Mapping'!H25)</f>
        <v/>
      </c>
      <c r="E29" s="10"/>
      <c r="F29" s="10"/>
      <c r="G29" s="12" t="str">
        <f t="shared" ca="1" si="0"/>
        <v/>
      </c>
      <c r="H29" s="12" t="str">
        <f t="shared" si="1"/>
        <v/>
      </c>
      <c r="I29" s="10"/>
      <c r="J29" s="10"/>
      <c r="K29" s="32"/>
    </row>
    <row r="30" spans="2:11" x14ac:dyDescent="0.3">
      <c r="B30" s="35" t="str">
        <f>IF('Milestone Mapping'!B26="","",'Milestone Mapping'!B26)</f>
        <v/>
      </c>
      <c r="C30" s="12" t="str">
        <f>IF('Milestone Mapping'!C26="","",'Milestone Mapping'!C26)</f>
        <v/>
      </c>
      <c r="D30" s="12" t="str">
        <f>IF('Milestone Mapping'!H26="","",'Milestone Mapping'!H26)</f>
        <v/>
      </c>
      <c r="E30" s="10"/>
      <c r="F30" s="10"/>
      <c r="G30" s="12" t="str">
        <f t="shared" ca="1" si="0"/>
        <v/>
      </c>
      <c r="H30" s="12" t="str">
        <f t="shared" si="1"/>
        <v/>
      </c>
      <c r="I30" s="10"/>
      <c r="J30" s="10"/>
      <c r="K30" s="32"/>
    </row>
    <row r="31" spans="2:11" x14ac:dyDescent="0.3">
      <c r="B31" s="35" t="str">
        <f>IF('Milestone Mapping'!B27="","",'Milestone Mapping'!B27)</f>
        <v/>
      </c>
      <c r="C31" s="12" t="str">
        <f>IF('Milestone Mapping'!C27="","",'Milestone Mapping'!C27)</f>
        <v/>
      </c>
      <c r="D31" s="12" t="str">
        <f>IF('Milestone Mapping'!H27="","",'Milestone Mapping'!H27)</f>
        <v/>
      </c>
      <c r="E31" s="10"/>
      <c r="F31" s="10"/>
      <c r="G31" s="12" t="str">
        <f t="shared" ca="1" si="0"/>
        <v/>
      </c>
      <c r="H31" s="12" t="str">
        <f t="shared" si="1"/>
        <v/>
      </c>
      <c r="I31" s="10"/>
      <c r="J31" s="10"/>
      <c r="K31" s="32"/>
    </row>
    <row r="32" spans="2:11" x14ac:dyDescent="0.3">
      <c r="B32" s="35" t="str">
        <f>IF('Milestone Mapping'!B28="","",'Milestone Mapping'!B28)</f>
        <v/>
      </c>
      <c r="C32" s="12" t="str">
        <f>IF('Milestone Mapping'!C28="","",'Milestone Mapping'!C28)</f>
        <v/>
      </c>
      <c r="D32" s="12" t="str">
        <f>IF('Milestone Mapping'!H28="","",'Milestone Mapping'!H28)</f>
        <v/>
      </c>
      <c r="E32" s="10"/>
      <c r="F32" s="10"/>
      <c r="G32" s="12" t="str">
        <f t="shared" ca="1" si="0"/>
        <v/>
      </c>
      <c r="H32" s="12" t="str">
        <f t="shared" si="1"/>
        <v/>
      </c>
      <c r="I32" s="10"/>
      <c r="J32" s="10"/>
      <c r="K32" s="32"/>
    </row>
    <row r="33" spans="2:11" x14ac:dyDescent="0.3">
      <c r="B33" s="35" t="str">
        <f>IF('Milestone Mapping'!B29="","",'Milestone Mapping'!B29)</f>
        <v/>
      </c>
      <c r="C33" s="12" t="str">
        <f>IF('Milestone Mapping'!C29="","",'Milestone Mapping'!C29)</f>
        <v/>
      </c>
      <c r="D33" s="12" t="str">
        <f>IF('Milestone Mapping'!H29="","",'Milestone Mapping'!H29)</f>
        <v/>
      </c>
      <c r="E33" s="10"/>
      <c r="F33" s="10"/>
      <c r="G33" s="12" t="str">
        <f t="shared" ca="1" si="0"/>
        <v/>
      </c>
      <c r="H33" s="12" t="str">
        <f t="shared" si="1"/>
        <v/>
      </c>
      <c r="I33" s="10"/>
      <c r="J33" s="10"/>
      <c r="K33" s="32"/>
    </row>
    <row r="34" spans="2:11" x14ac:dyDescent="0.3">
      <c r="B34" s="35" t="str">
        <f>IF('Milestone Mapping'!B30="","",'Milestone Mapping'!B30)</f>
        <v/>
      </c>
      <c r="C34" s="12" t="str">
        <f>IF('Milestone Mapping'!C30="","",'Milestone Mapping'!C30)</f>
        <v/>
      </c>
      <c r="D34" s="12" t="str">
        <f>IF('Milestone Mapping'!H30="","",'Milestone Mapping'!H30)</f>
        <v/>
      </c>
      <c r="E34" s="10"/>
      <c r="F34" s="10"/>
      <c r="G34" s="12" t="str">
        <f t="shared" ca="1" si="0"/>
        <v/>
      </c>
      <c r="H34" s="12" t="str">
        <f t="shared" si="1"/>
        <v/>
      </c>
      <c r="I34" s="10"/>
      <c r="J34" s="10"/>
      <c r="K34" s="32"/>
    </row>
    <row r="35" spans="2:11" x14ac:dyDescent="0.3">
      <c r="B35" s="36" t="str">
        <f>IF('Milestone Mapping'!B31="","",'Milestone Mapping'!B31)</f>
        <v/>
      </c>
      <c r="C35" s="37" t="str">
        <f>IF('Milestone Mapping'!C31="","",'Milestone Mapping'!C31)</f>
        <v/>
      </c>
      <c r="D35" s="37" t="str">
        <f>IF('Milestone Mapping'!H31="","",'Milestone Mapping'!H31)</f>
        <v/>
      </c>
      <c r="E35" s="33"/>
      <c r="F35" s="33"/>
      <c r="G35" s="37" t="str">
        <f t="shared" ca="1" si="0"/>
        <v/>
      </c>
      <c r="H35" s="37" t="str">
        <f t="shared" si="1"/>
        <v/>
      </c>
      <c r="I35" s="33"/>
      <c r="J35" s="33"/>
      <c r="K35" s="34"/>
    </row>
    <row r="37" spans="2:11" x14ac:dyDescent="0.3">
      <c r="B37" s="6" t="s">
        <v>13</v>
      </c>
    </row>
  </sheetData>
  <dataValidations count="1">
    <dataValidation type="list" allowBlank="1" sqref="E16 E17 E18 E19 E20 E21 E22 E23 E24 E25 E26 E27 E28 E29 E30 E31 E32 E33 E34 E35" xr:uid="{00000000-0002-0000-0500-000000000000}">
      <formula1>"Not Started,In Progress,On Track,At Risk,Blocked,Complete,Deferred"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showGridLines="0" workbookViewId="0"/>
  </sheetViews>
  <sheetFormatPr defaultRowHeight="14.4" x14ac:dyDescent="0.3"/>
  <sheetData>
    <row r="1" spans="1:4" x14ac:dyDescent="0.3">
      <c r="A1" t="s">
        <v>95</v>
      </c>
      <c r="B1" t="s">
        <v>96</v>
      </c>
      <c r="C1" t="s">
        <v>97</v>
      </c>
      <c r="D1" t="s">
        <v>98</v>
      </c>
    </row>
    <row r="2" spans="1:4" x14ac:dyDescent="0.3">
      <c r="A2" t="s">
        <v>99</v>
      </c>
      <c r="B2" t="s">
        <v>100</v>
      </c>
      <c r="C2" t="s">
        <v>101</v>
      </c>
      <c r="D2" t="s">
        <v>102</v>
      </c>
    </row>
    <row r="3" spans="1:4" x14ac:dyDescent="0.3">
      <c r="A3" t="s">
        <v>103</v>
      </c>
      <c r="B3" t="s">
        <v>104</v>
      </c>
      <c r="C3" t="s">
        <v>105</v>
      </c>
      <c r="D3" t="s">
        <v>106</v>
      </c>
    </row>
    <row r="4" spans="1:4" x14ac:dyDescent="0.3">
      <c r="A4" t="s">
        <v>85</v>
      </c>
      <c r="B4" t="s">
        <v>107</v>
      </c>
      <c r="C4" t="s">
        <v>108</v>
      </c>
      <c r="D4" t="s">
        <v>109</v>
      </c>
    </row>
    <row r="5" spans="1:4" x14ac:dyDescent="0.3">
      <c r="A5" t="s">
        <v>86</v>
      </c>
      <c r="B5" t="s">
        <v>110</v>
      </c>
      <c r="D5" t="s">
        <v>111</v>
      </c>
    </row>
    <row r="6" spans="1:4" x14ac:dyDescent="0.3">
      <c r="A6" t="s">
        <v>112</v>
      </c>
      <c r="D6" t="s">
        <v>113</v>
      </c>
    </row>
    <row r="7" spans="1:4" x14ac:dyDescent="0.3">
      <c r="A7" t="s">
        <v>84</v>
      </c>
      <c r="D7" t="s">
        <v>114</v>
      </c>
    </row>
    <row r="8" spans="1:4" x14ac:dyDescent="0.3">
      <c r="A8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Scenario Selection</vt:lpstr>
      <vt:lpstr>Key Dates</vt:lpstr>
      <vt:lpstr>Gap Import</vt:lpstr>
      <vt:lpstr>Milestone Mapping</vt:lpstr>
      <vt:lpstr>Progress Tracker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2026-01-23T14:45:31Z</dcterms:created>
  <dcterms:modified xsi:type="dcterms:W3CDTF">2026-01-23T15:02:21Z</dcterms:modified>
</cp:coreProperties>
</file>