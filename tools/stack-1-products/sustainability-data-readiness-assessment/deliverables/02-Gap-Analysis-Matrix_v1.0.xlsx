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CY\ecosystems-united\tools\stack-1-products\sustainability-data-readiness-assessment\deliverables\"/>
    </mc:Choice>
  </mc:AlternateContent>
  <xr:revisionPtr revIDLastSave="0" documentId="8_{2095420F-8A1F-4837-B22D-D32A6274CC8F}" xr6:coauthVersionLast="36" xr6:coauthVersionMax="36" xr10:uidLastSave="{00000000-0000-0000-0000-000000000000}"/>
  <bookViews>
    <workbookView xWindow="0" yWindow="0" windowWidth="23040" windowHeight="7500" activeTab="1" xr2:uid="{00000000-000D-0000-FFFF-FFFF00000000}"/>
  </bookViews>
  <sheets>
    <sheet name="Instructions" sheetId="1" r:id="rId1"/>
    <sheet name="Gap Input" sheetId="2" r:id="rId2"/>
    <sheet name="Priority Scoring" sheetId="3" r:id="rId3"/>
    <sheet name="Action Roadmap" sheetId="4" r:id="rId4"/>
    <sheet name="Resource Planning" sheetId="5" r:id="rId5"/>
  </sheets>
  <calcPr calcId="191029"/>
</workbook>
</file>

<file path=xl/calcChain.xml><?xml version="1.0" encoding="utf-8"?>
<calcChain xmlns="http://schemas.openxmlformats.org/spreadsheetml/2006/main">
  <c r="B5" i="3" l="1"/>
  <c r="C13" i="5"/>
  <c r="C6" i="5"/>
  <c r="E24" i="4"/>
  <c r="E23" i="4"/>
  <c r="E22" i="4"/>
  <c r="D22" i="4"/>
  <c r="F22" i="4" s="1"/>
  <c r="E21" i="4"/>
  <c r="D21" i="4"/>
  <c r="F21" i="4" s="1"/>
  <c r="C21" i="4"/>
  <c r="E20" i="4"/>
  <c r="E19" i="4"/>
  <c r="B19" i="4"/>
  <c r="E18" i="4"/>
  <c r="E17" i="4"/>
  <c r="E16" i="4"/>
  <c r="D16" i="4"/>
  <c r="F16" i="4" s="1"/>
  <c r="E15" i="4"/>
  <c r="D15" i="4"/>
  <c r="F15" i="4" s="1"/>
  <c r="C15" i="4"/>
  <c r="E14" i="4"/>
  <c r="E13" i="4"/>
  <c r="B13" i="4"/>
  <c r="E12" i="4"/>
  <c r="E11" i="4"/>
  <c r="E10" i="4"/>
  <c r="D10" i="4"/>
  <c r="F10" i="4" s="1"/>
  <c r="E9" i="4"/>
  <c r="D9" i="4"/>
  <c r="F9" i="4" s="1"/>
  <c r="C9" i="4"/>
  <c r="E8" i="4"/>
  <c r="E7" i="4"/>
  <c r="B7" i="4"/>
  <c r="E6" i="4"/>
  <c r="E5" i="4"/>
  <c r="H24" i="3"/>
  <c r="D24" i="4" s="1"/>
  <c r="F24" i="4" s="1"/>
  <c r="G24" i="3"/>
  <c r="C24" i="4" s="1"/>
  <c r="B24" i="3"/>
  <c r="B24" i="4" s="1"/>
  <c r="H23" i="3"/>
  <c r="D23" i="4" s="1"/>
  <c r="F23" i="4" s="1"/>
  <c r="G23" i="3"/>
  <c r="C23" i="4" s="1"/>
  <c r="B23" i="3"/>
  <c r="B23" i="4" s="1"/>
  <c r="H22" i="3"/>
  <c r="G22" i="3"/>
  <c r="C22" i="4" s="1"/>
  <c r="B22" i="3"/>
  <c r="B22" i="4" s="1"/>
  <c r="H21" i="3"/>
  <c r="G21" i="3"/>
  <c r="B21" i="3"/>
  <c r="B21" i="4" s="1"/>
  <c r="H20" i="3"/>
  <c r="D20" i="4" s="1"/>
  <c r="F20" i="4" s="1"/>
  <c r="G20" i="3"/>
  <c r="C20" i="4" s="1"/>
  <c r="B20" i="3"/>
  <c r="B20" i="4" s="1"/>
  <c r="H19" i="3"/>
  <c r="D19" i="4" s="1"/>
  <c r="F19" i="4" s="1"/>
  <c r="G19" i="3"/>
  <c r="C19" i="4" s="1"/>
  <c r="B19" i="3"/>
  <c r="H18" i="3"/>
  <c r="D18" i="4" s="1"/>
  <c r="F18" i="4" s="1"/>
  <c r="G18" i="3"/>
  <c r="C18" i="4" s="1"/>
  <c r="B18" i="3"/>
  <c r="B18" i="4" s="1"/>
  <c r="H17" i="3"/>
  <c r="D17" i="4" s="1"/>
  <c r="F17" i="4" s="1"/>
  <c r="G17" i="3"/>
  <c r="C17" i="4" s="1"/>
  <c r="B17" i="3"/>
  <c r="B17" i="4" s="1"/>
  <c r="H16" i="3"/>
  <c r="G16" i="3"/>
  <c r="C16" i="4" s="1"/>
  <c r="B16" i="3"/>
  <c r="B16" i="4" s="1"/>
  <c r="H15" i="3"/>
  <c r="G15" i="3"/>
  <c r="B15" i="3"/>
  <c r="B15" i="4" s="1"/>
  <c r="H14" i="3"/>
  <c r="D14" i="4" s="1"/>
  <c r="F14" i="4" s="1"/>
  <c r="G14" i="3"/>
  <c r="C14" i="4" s="1"/>
  <c r="B14" i="3"/>
  <c r="B14" i="4" s="1"/>
  <c r="H13" i="3"/>
  <c r="D13" i="4" s="1"/>
  <c r="F13" i="4" s="1"/>
  <c r="G13" i="3"/>
  <c r="C13" i="4" s="1"/>
  <c r="B13" i="3"/>
  <c r="H12" i="3"/>
  <c r="D12" i="4" s="1"/>
  <c r="F12" i="4" s="1"/>
  <c r="G12" i="3"/>
  <c r="C12" i="4" s="1"/>
  <c r="B12" i="3"/>
  <c r="B12" i="4" s="1"/>
  <c r="H11" i="3"/>
  <c r="D11" i="4" s="1"/>
  <c r="F11" i="4" s="1"/>
  <c r="G11" i="3"/>
  <c r="C11" i="4" s="1"/>
  <c r="B11" i="3"/>
  <c r="B11" i="4" s="1"/>
  <c r="H10" i="3"/>
  <c r="G10" i="3"/>
  <c r="C10" i="4" s="1"/>
  <c r="B10" i="3"/>
  <c r="B10" i="4" s="1"/>
  <c r="H9" i="3"/>
  <c r="G9" i="3"/>
  <c r="B9" i="3"/>
  <c r="B9" i="4" s="1"/>
  <c r="H8" i="3"/>
  <c r="D8" i="4" s="1"/>
  <c r="F8" i="4" s="1"/>
  <c r="G8" i="3"/>
  <c r="C8" i="4" s="1"/>
  <c r="B8" i="3"/>
  <c r="B8" i="4" s="1"/>
  <c r="H7" i="3"/>
  <c r="D7" i="4" s="1"/>
  <c r="F7" i="4" s="1"/>
  <c r="G7" i="3"/>
  <c r="C7" i="4" s="1"/>
  <c r="B7" i="3"/>
  <c r="H6" i="3"/>
  <c r="D6" i="4" s="1"/>
  <c r="F6" i="4" s="1"/>
  <c r="G6" i="3"/>
  <c r="C6" i="4" s="1"/>
  <c r="B6" i="3"/>
  <c r="B6" i="4" s="1"/>
  <c r="H5" i="3"/>
  <c r="D5" i="4" s="1"/>
  <c r="F5" i="4" s="1"/>
  <c r="G5" i="3"/>
  <c r="C5" i="4" s="1"/>
  <c r="B5" i="4"/>
  <c r="C7" i="5" l="1"/>
  <c r="C8" i="5"/>
  <c r="C9" i="5"/>
</calcChain>
</file>

<file path=xl/sharedStrings.xml><?xml version="1.0" encoding="utf-8"?>
<sst xmlns="http://schemas.openxmlformats.org/spreadsheetml/2006/main" count="77" uniqueCount="72">
  <si>
    <t>GAP ANALYSIS &amp; PRIORITIZATION MATRIX</t>
  </si>
  <si>
    <t>WHAT THIS TOOL DOES</t>
  </si>
  <si>
    <t>This tool helps you prioritize which gaps to close first based on:</t>
  </si>
  <si>
    <t xml:space="preserve">  • Buyer Priority - How important is this to your buyers?</t>
  </si>
  <si>
    <t xml:space="preserve">  • Implementation Difficulty - How hard is it to fix?</t>
  </si>
  <si>
    <t xml:space="preserve">  • Cost - How much will it cost?</t>
  </si>
  <si>
    <t xml:space="preserve">  • Risk - What happens if you don't fix it?</t>
  </si>
  <si>
    <t>THE QUADRANT SYSTEM</t>
  </si>
  <si>
    <t xml:space="preserve">  HIGH PRIORITY</t>
  </si>
  <si>
    <t xml:space="preserve">       ▲</t>
  </si>
  <si>
    <t xml:space="preserve">       │   Q2: PLAN         Q1: DO FIRST</t>
  </si>
  <si>
    <t xml:space="preserve">       │   CAREFULLY        (High priority,</t>
  </si>
  <si>
    <t xml:space="preserve">       │   (High priority,   easy to fix)</t>
  </si>
  <si>
    <t xml:space="preserve">       │    hard to fix)</t>
  </si>
  <si>
    <t xml:space="preserve">       │</t>
  </si>
  <si>
    <t xml:space="preserve">       ├──────────────────────────────────►</t>
  </si>
  <si>
    <t xml:space="preserve">       │                          EASY TO FIX</t>
  </si>
  <si>
    <t xml:space="preserve">       │   Q4: DEFER         Q3: WHEN TIME</t>
  </si>
  <si>
    <t xml:space="preserve">       │   (Low priority,    ALLOWS</t>
  </si>
  <si>
    <t xml:space="preserve">       │    hard to fix)     (Low priority,</t>
  </si>
  <si>
    <t xml:space="preserve">       │                      easy to fix)</t>
  </si>
  <si>
    <t xml:space="preserve">  LOW PRIORITY</t>
  </si>
  <si>
    <t>HOW TO USE</t>
  </si>
  <si>
    <t>Step 1: Go to 'Gap Input' tab and list your gaps from the Readiness Scorecard</t>
  </si>
  <si>
    <t>Step 2: Go to 'Priority Scoring' tab and rate each gap</t>
  </si>
  <si>
    <t>Step 3: Review 'Action Roadmap' for your prioritized list</t>
  </si>
  <si>
    <t>Step 4: Use 'Resource Planning' to estimate total effort</t>
  </si>
  <si>
    <t>Yellow cells = your input required</t>
  </si>
  <si>
    <t>© Ecosystems United 2025 | All Rights Reserved</t>
  </si>
  <si>
    <t>GAP INPUT</t>
  </si>
  <si>
    <t>Enter your gaps from the Readiness Scorecard (categories scoring below 70%)</t>
  </si>
  <si>
    <t>#</t>
  </si>
  <si>
    <t>Category</t>
  </si>
  <si>
    <t>Gap Description</t>
  </si>
  <si>
    <t>Current Situation</t>
  </si>
  <si>
    <t>PRIORITY SCORING</t>
  </si>
  <si>
    <t>Rate each gap to calculate priority</t>
  </si>
  <si>
    <t>Gap (from Gap Input)</t>
  </si>
  <si>
    <t>Buyer Priority</t>
  </si>
  <si>
    <t>Difficulty</t>
  </si>
  <si>
    <t>Cost</t>
  </si>
  <si>
    <t>Risk Level</t>
  </si>
  <si>
    <t>Priority Score</t>
  </si>
  <si>
    <t>Quadrant</t>
  </si>
  <si>
    <t>SCORING LEGEND</t>
  </si>
  <si>
    <t>Buyer Priority: 1 = Rarely asked, 5 = Every buyer asks</t>
  </si>
  <si>
    <t>Difficulty: 1 = Can do today, 5 = Major project</t>
  </si>
  <si>
    <t>Cost: € = Free/minimal, €€€€€ = Significant investment</t>
  </si>
  <si>
    <t>Risk: What happens if buyer asks and you can't answer?</t>
  </si>
  <si>
    <t>ACTION ROADMAP</t>
  </si>
  <si>
    <t>Your gaps sorted by priority (highest first)</t>
  </si>
  <si>
    <t>Gap</t>
  </si>
  <si>
    <t>Recommended Timing</t>
  </si>
  <si>
    <t>NOTE: Sort this list by Priority Score (Column C) highest to lowest for best results.</t>
  </si>
  <si>
    <t>RESOURCE PLANNING SUMMARY</t>
  </si>
  <si>
    <t>GAPS BY QUADRANT</t>
  </si>
  <si>
    <t>Count</t>
  </si>
  <si>
    <t>Recommended Focus</t>
  </si>
  <si>
    <t>Q1: DO FIRST</t>
  </si>
  <si>
    <t>Immediate attention - these are quick wins</t>
  </si>
  <si>
    <t>Q2: PLAN CAREFULLY</t>
  </si>
  <si>
    <t>Important but need resources/planning</t>
  </si>
  <si>
    <t>Q3: WHEN TIME ALLOWS</t>
  </si>
  <si>
    <t>Nice to have, low urgency</t>
  </si>
  <si>
    <t>Q4: DEFER</t>
  </si>
  <si>
    <t>Consider deprioritizing</t>
  </si>
  <si>
    <t>COST DISTRIBUTION</t>
  </si>
  <si>
    <t>Total gaps entered:</t>
  </si>
  <si>
    <t>Use this information to:</t>
  </si>
  <si>
    <t>• Estimate total budget needed</t>
  </si>
  <si>
    <t>• Identify quick wins (Q1) for immediate action</t>
  </si>
  <si>
    <t>• Plan resource allocation across quadrants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</si>
</sst>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1"/>
      <name val="Calibri"/>
      <family val="2"/>
    </font>
    <font>
      <b/>
      <sz val="14"/>
      <color rgb="FF1F4E79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FFF99"/>
        <bgColor rgb="FFFFFF99"/>
      </patternFill>
    </fill>
    <fill>
      <patternFill patternType="solid">
        <fgColor rgb="FFE6F2FF"/>
        <bgColor rgb="FFE6F2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5" fillId="2" borderId="1" xfId="0" applyFont="1" applyFill="1" applyBorder="1" applyAlignment="1">
      <alignment horizontal="center" wrapText="1"/>
    </xf>
    <xf numFmtId="164" fontId="0" fillId="4" borderId="1" xfId="0" applyNumberFormat="1" applyFill="1" applyBorder="1"/>
    <xf numFmtId="0" fontId="0" fillId="4" borderId="1" xfId="0" applyFill="1" applyBorder="1"/>
    <xf numFmtId="0" fontId="6" fillId="0" borderId="0" xfId="0" applyFont="1"/>
    <xf numFmtId="0" fontId="7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0"/>
  <sheetViews>
    <sheetView topLeftCell="A22" workbookViewId="0">
      <selection activeCell="B2" sqref="B2"/>
    </sheetView>
  </sheetViews>
  <sheetFormatPr defaultRowHeight="14.4" x14ac:dyDescent="0.3"/>
  <cols>
    <col min="2" max="2" width="80" customWidth="1"/>
  </cols>
  <sheetData>
    <row r="2" spans="2:2" ht="21" x14ac:dyDescent="0.4">
      <c r="B2" s="1" t="s">
        <v>0</v>
      </c>
    </row>
    <row r="4" spans="2:2" x14ac:dyDescent="0.3">
      <c r="B4" s="2" t="s">
        <v>1</v>
      </c>
    </row>
    <row r="5" spans="2:2" x14ac:dyDescent="0.3">
      <c r="B5" t="s">
        <v>2</v>
      </c>
    </row>
    <row r="6" spans="2:2" x14ac:dyDescent="0.3">
      <c r="B6" t="s">
        <v>3</v>
      </c>
    </row>
    <row r="7" spans="2:2" x14ac:dyDescent="0.3">
      <c r="B7" t="s">
        <v>4</v>
      </c>
    </row>
    <row r="8" spans="2:2" x14ac:dyDescent="0.3">
      <c r="B8" t="s">
        <v>5</v>
      </c>
    </row>
    <row r="9" spans="2:2" x14ac:dyDescent="0.3">
      <c r="B9" t="s">
        <v>6</v>
      </c>
    </row>
    <row r="11" spans="2:2" x14ac:dyDescent="0.3">
      <c r="B11" s="2" t="s">
        <v>7</v>
      </c>
    </row>
    <row r="13" spans="2:2" x14ac:dyDescent="0.3">
      <c r="B13" t="s">
        <v>8</v>
      </c>
    </row>
    <row r="14" spans="2:2" x14ac:dyDescent="0.3">
      <c r="B14" t="s">
        <v>9</v>
      </c>
    </row>
    <row r="15" spans="2:2" x14ac:dyDescent="0.3">
      <c r="B15" t="s">
        <v>10</v>
      </c>
    </row>
    <row r="16" spans="2:2" x14ac:dyDescent="0.3">
      <c r="B16" t="s">
        <v>11</v>
      </c>
    </row>
    <row r="17" spans="2:2" x14ac:dyDescent="0.3">
      <c r="B17" t="s">
        <v>12</v>
      </c>
    </row>
    <row r="18" spans="2:2" x14ac:dyDescent="0.3">
      <c r="B18" t="s">
        <v>13</v>
      </c>
    </row>
    <row r="19" spans="2:2" x14ac:dyDescent="0.3">
      <c r="B19" t="s">
        <v>14</v>
      </c>
    </row>
    <row r="20" spans="2:2" x14ac:dyDescent="0.3">
      <c r="B20" t="s">
        <v>15</v>
      </c>
    </row>
    <row r="21" spans="2:2" x14ac:dyDescent="0.3">
      <c r="B21" t="s">
        <v>16</v>
      </c>
    </row>
    <row r="22" spans="2:2" x14ac:dyDescent="0.3">
      <c r="B22" t="s">
        <v>17</v>
      </c>
    </row>
    <row r="23" spans="2:2" x14ac:dyDescent="0.3">
      <c r="B23" t="s">
        <v>18</v>
      </c>
    </row>
    <row r="24" spans="2:2" x14ac:dyDescent="0.3">
      <c r="B24" t="s">
        <v>19</v>
      </c>
    </row>
    <row r="25" spans="2:2" x14ac:dyDescent="0.3">
      <c r="B25" t="s">
        <v>20</v>
      </c>
    </row>
    <row r="26" spans="2:2" x14ac:dyDescent="0.3">
      <c r="B26" t="s">
        <v>21</v>
      </c>
    </row>
    <row r="28" spans="2:2" x14ac:dyDescent="0.3">
      <c r="B28" s="2" t="s">
        <v>22</v>
      </c>
    </row>
    <row r="30" spans="2:2" x14ac:dyDescent="0.3">
      <c r="B30" t="s">
        <v>23</v>
      </c>
    </row>
    <row r="32" spans="2:2" x14ac:dyDescent="0.3">
      <c r="B32" t="s">
        <v>24</v>
      </c>
    </row>
    <row r="34" spans="2:2" x14ac:dyDescent="0.3">
      <c r="B34" t="s">
        <v>25</v>
      </c>
    </row>
    <row r="36" spans="2:2" x14ac:dyDescent="0.3">
      <c r="B36" t="s">
        <v>26</v>
      </c>
    </row>
    <row r="38" spans="2:2" x14ac:dyDescent="0.3">
      <c r="B38" t="s">
        <v>27</v>
      </c>
    </row>
    <row r="40" spans="2:2" x14ac:dyDescent="0.3">
      <c r="B40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tabSelected="1" workbookViewId="0">
      <selection activeCell="D5" sqref="D5"/>
    </sheetView>
  </sheetViews>
  <sheetFormatPr defaultRowHeight="14.4" x14ac:dyDescent="0.3"/>
  <cols>
    <col min="1" max="1" width="5" customWidth="1"/>
    <col min="2" max="2" width="15" customWidth="1"/>
    <col min="3" max="3" width="40" customWidth="1"/>
    <col min="4" max="4" width="50" customWidth="1"/>
  </cols>
  <sheetData>
    <row r="1" spans="1:4" ht="18" x14ac:dyDescent="0.35">
      <c r="B1" s="12" t="s">
        <v>29</v>
      </c>
      <c r="C1" s="13"/>
      <c r="D1" s="13"/>
    </row>
    <row r="2" spans="1:4" x14ac:dyDescent="0.3">
      <c r="B2" s="3" t="s">
        <v>30</v>
      </c>
    </row>
    <row r="4" spans="1:4" x14ac:dyDescent="0.3">
      <c r="A4" s="4" t="s">
        <v>31</v>
      </c>
      <c r="B4" s="4" t="s">
        <v>32</v>
      </c>
      <c r="C4" s="4" t="s">
        <v>33</v>
      </c>
      <c r="D4" s="4" t="s">
        <v>34</v>
      </c>
    </row>
    <row r="5" spans="1:4" x14ac:dyDescent="0.3">
      <c r="A5" s="5">
        <v>1</v>
      </c>
      <c r="B5" s="6"/>
      <c r="C5" s="6"/>
      <c r="D5" s="6"/>
    </row>
    <row r="6" spans="1:4" x14ac:dyDescent="0.3">
      <c r="A6" s="5">
        <v>2</v>
      </c>
      <c r="B6" s="6"/>
      <c r="C6" s="6"/>
      <c r="D6" s="6"/>
    </row>
    <row r="7" spans="1:4" x14ac:dyDescent="0.3">
      <c r="A7" s="5">
        <v>3</v>
      </c>
      <c r="B7" s="6"/>
      <c r="C7" s="6"/>
      <c r="D7" s="6"/>
    </row>
    <row r="8" spans="1:4" x14ac:dyDescent="0.3">
      <c r="A8" s="5">
        <v>4</v>
      </c>
      <c r="B8" s="6"/>
      <c r="C8" s="6"/>
      <c r="D8" s="6"/>
    </row>
    <row r="9" spans="1:4" x14ac:dyDescent="0.3">
      <c r="A9" s="5">
        <v>5</v>
      </c>
      <c r="B9" s="6"/>
      <c r="C9" s="6"/>
      <c r="D9" s="6"/>
    </row>
    <row r="10" spans="1:4" x14ac:dyDescent="0.3">
      <c r="A10" s="5">
        <v>6</v>
      </c>
      <c r="B10" s="6"/>
      <c r="C10" s="6"/>
      <c r="D10" s="6"/>
    </row>
    <row r="11" spans="1:4" x14ac:dyDescent="0.3">
      <c r="A11" s="5">
        <v>7</v>
      </c>
      <c r="B11" s="6"/>
      <c r="C11" s="6"/>
      <c r="D11" s="6"/>
    </row>
    <row r="12" spans="1:4" x14ac:dyDescent="0.3">
      <c r="A12" s="5">
        <v>8</v>
      </c>
      <c r="B12" s="6"/>
      <c r="C12" s="6"/>
      <c r="D12" s="6"/>
    </row>
    <row r="13" spans="1:4" x14ac:dyDescent="0.3">
      <c r="A13" s="5">
        <v>9</v>
      </c>
      <c r="B13" s="6"/>
      <c r="C13" s="6"/>
      <c r="D13" s="6"/>
    </row>
    <row r="14" spans="1:4" x14ac:dyDescent="0.3">
      <c r="A14" s="5">
        <v>10</v>
      </c>
      <c r="B14" s="6"/>
      <c r="C14" s="6"/>
      <c r="D14" s="6"/>
    </row>
    <row r="15" spans="1:4" x14ac:dyDescent="0.3">
      <c r="A15" s="5">
        <v>11</v>
      </c>
      <c r="B15" s="6"/>
      <c r="C15" s="6"/>
      <c r="D15" s="6"/>
    </row>
    <row r="16" spans="1:4" x14ac:dyDescent="0.3">
      <c r="A16" s="5">
        <v>12</v>
      </c>
      <c r="B16" s="6"/>
      <c r="C16" s="6"/>
      <c r="D16" s="6"/>
    </row>
    <row r="17" spans="1:4" x14ac:dyDescent="0.3">
      <c r="A17" s="5">
        <v>13</v>
      </c>
      <c r="B17" s="6"/>
      <c r="C17" s="6"/>
      <c r="D17" s="6"/>
    </row>
    <row r="18" spans="1:4" x14ac:dyDescent="0.3">
      <c r="A18" s="5">
        <v>14</v>
      </c>
      <c r="B18" s="6"/>
      <c r="C18" s="6"/>
      <c r="D18" s="6"/>
    </row>
    <row r="19" spans="1:4" x14ac:dyDescent="0.3">
      <c r="A19" s="5">
        <v>15</v>
      </c>
      <c r="B19" s="6"/>
      <c r="C19" s="6"/>
      <c r="D19" s="6"/>
    </row>
    <row r="20" spans="1:4" x14ac:dyDescent="0.3">
      <c r="A20" s="5">
        <v>16</v>
      </c>
      <c r="B20" s="6"/>
      <c r="C20" s="6"/>
      <c r="D20" s="6"/>
    </row>
    <row r="21" spans="1:4" x14ac:dyDescent="0.3">
      <c r="A21" s="5">
        <v>17</v>
      </c>
      <c r="B21" s="6"/>
      <c r="C21" s="6"/>
      <c r="D21" s="6"/>
    </row>
    <row r="22" spans="1:4" x14ac:dyDescent="0.3">
      <c r="A22" s="5">
        <v>18</v>
      </c>
      <c r="B22" s="6"/>
      <c r="C22" s="6"/>
      <c r="D22" s="6"/>
    </row>
    <row r="23" spans="1:4" x14ac:dyDescent="0.3">
      <c r="A23" s="5">
        <v>19</v>
      </c>
      <c r="B23" s="6"/>
      <c r="C23" s="6"/>
      <c r="D23" s="6"/>
    </row>
    <row r="24" spans="1:4" x14ac:dyDescent="0.3">
      <c r="A24" s="5">
        <v>20</v>
      </c>
      <c r="B24" s="6"/>
      <c r="C24" s="6"/>
      <c r="D24" s="6"/>
    </row>
  </sheetData>
  <mergeCells count="1">
    <mergeCell ref="B1:D1"/>
  </mergeCells>
  <dataValidations count="1">
    <dataValidation type="list" allowBlank="1" sqref="B5 B6 B7 B8 B9 B10 B11 B12 B13 B14 B15 B16 B17 B18 B19 B20 B21 B22 B23 B24" xr:uid="{00000000-0002-0000-0100-000000000000}">
      <formula1>"Carbon Footprint Data,Energy Consumption,Water Use,Waste Management,Sustainable Sourcing,Biodiversity &amp; Land Use,Chemical Management,Animal Welfare,Labor &amp; Social Practices,Climate Adaptation,Certifications &amp; Standards,Sustainability Governance"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topLeftCell="A4" workbookViewId="0">
      <selection activeCell="E5" sqref="E5"/>
    </sheetView>
  </sheetViews>
  <sheetFormatPr defaultRowHeight="14.4" x14ac:dyDescent="0.3"/>
  <cols>
    <col min="1" max="1" width="5" customWidth="1"/>
    <col min="2" max="2" width="35" customWidth="1"/>
    <col min="3" max="4" width="14" customWidth="1"/>
    <col min="5" max="5" width="12" customWidth="1"/>
    <col min="6" max="7" width="14" customWidth="1"/>
    <col min="8" max="8" width="12" customWidth="1"/>
  </cols>
  <sheetData>
    <row r="1" spans="1:8" ht="18" x14ac:dyDescent="0.35">
      <c r="B1" s="12" t="s">
        <v>35</v>
      </c>
      <c r="C1" s="13"/>
      <c r="D1" s="13"/>
      <c r="E1" s="13"/>
      <c r="F1" s="13"/>
      <c r="G1" s="13"/>
      <c r="H1" s="13"/>
    </row>
    <row r="2" spans="1:8" x14ac:dyDescent="0.3">
      <c r="B2" t="s">
        <v>36</v>
      </c>
    </row>
    <row r="4" spans="1:8" x14ac:dyDescent="0.3">
      <c r="A4" s="7" t="s">
        <v>31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</row>
    <row r="5" spans="1:8" x14ac:dyDescent="0.3">
      <c r="A5" s="5">
        <v>1</v>
      </c>
      <c r="B5" s="5">
        <f>'Gap Input'!C5</f>
        <v>0</v>
      </c>
      <c r="C5" s="6"/>
      <c r="D5" s="6"/>
      <c r="E5" s="6"/>
      <c r="F5" s="6"/>
      <c r="G5" s="8" t="str">
        <f t="shared" ref="G5:G24" si="0">IF(OR(C5="",D5=""),"",VALUE(LEFT(C5,1))*2+(6-VALUE(LEFT(D5,1)))+IF(F5="Critical",3,IF(F5="High",2,IF(F5="Medium",1,0))))</f>
        <v/>
      </c>
      <c r="H5" s="9" t="str">
        <f t="shared" ref="H5:H24" si="1">IF(OR(C5="",D5=""),"",IF(AND(VALUE(LEFT(C5,1))&gt;=3,VALUE(LEFT(D5,1))&lt;=3),"Q1: DO FIRST",IF(AND(VALUE(LEFT(C5,1))&gt;=3,VALUE(LEFT(D5,1))&gt;3),"Q2: PLAN CAREFULLY",IF(AND(VALUE(LEFT(C5,1))&lt;3,VALUE(LEFT(D5,1))&lt;=3),"Q3: WHEN TIME ALLOWS","Q4: DEFER"))))</f>
        <v/>
      </c>
    </row>
    <row r="6" spans="1:8" x14ac:dyDescent="0.3">
      <c r="A6" s="5">
        <v>2</v>
      </c>
      <c r="B6" s="5">
        <f>'Gap Input'!C6</f>
        <v>0</v>
      </c>
      <c r="C6" s="6"/>
      <c r="D6" s="6"/>
      <c r="E6" s="6"/>
      <c r="F6" s="6"/>
      <c r="G6" s="8" t="str">
        <f t="shared" si="0"/>
        <v/>
      </c>
      <c r="H6" s="9" t="str">
        <f t="shared" si="1"/>
        <v/>
      </c>
    </row>
    <row r="7" spans="1:8" x14ac:dyDescent="0.3">
      <c r="A7" s="5">
        <v>3</v>
      </c>
      <c r="B7" s="5">
        <f>'Gap Input'!C7</f>
        <v>0</v>
      </c>
      <c r="C7" s="6"/>
      <c r="D7" s="6"/>
      <c r="E7" s="6"/>
      <c r="F7" s="6"/>
      <c r="G7" s="8" t="str">
        <f t="shared" si="0"/>
        <v/>
      </c>
      <c r="H7" s="9" t="str">
        <f t="shared" si="1"/>
        <v/>
      </c>
    </row>
    <row r="8" spans="1:8" x14ac:dyDescent="0.3">
      <c r="A8" s="5">
        <v>4</v>
      </c>
      <c r="B8" s="5">
        <f>'Gap Input'!C8</f>
        <v>0</v>
      </c>
      <c r="C8" s="6"/>
      <c r="D8" s="6"/>
      <c r="E8" s="6"/>
      <c r="F8" s="6"/>
      <c r="G8" s="8" t="str">
        <f t="shared" si="0"/>
        <v/>
      </c>
      <c r="H8" s="9" t="str">
        <f t="shared" si="1"/>
        <v/>
      </c>
    </row>
    <row r="9" spans="1:8" x14ac:dyDescent="0.3">
      <c r="A9" s="5">
        <v>5</v>
      </c>
      <c r="B9" s="5">
        <f>'Gap Input'!C9</f>
        <v>0</v>
      </c>
      <c r="C9" s="6"/>
      <c r="D9" s="6"/>
      <c r="E9" s="6"/>
      <c r="F9" s="6"/>
      <c r="G9" s="8" t="str">
        <f t="shared" si="0"/>
        <v/>
      </c>
      <c r="H9" s="9" t="str">
        <f t="shared" si="1"/>
        <v/>
      </c>
    </row>
    <row r="10" spans="1:8" x14ac:dyDescent="0.3">
      <c r="A10" s="5">
        <v>6</v>
      </c>
      <c r="B10" s="5">
        <f>'Gap Input'!C10</f>
        <v>0</v>
      </c>
      <c r="C10" s="6"/>
      <c r="D10" s="6"/>
      <c r="E10" s="6"/>
      <c r="F10" s="6"/>
      <c r="G10" s="8" t="str">
        <f t="shared" si="0"/>
        <v/>
      </c>
      <c r="H10" s="9" t="str">
        <f t="shared" si="1"/>
        <v/>
      </c>
    </row>
    <row r="11" spans="1:8" x14ac:dyDescent="0.3">
      <c r="A11" s="5">
        <v>7</v>
      </c>
      <c r="B11" s="5">
        <f>'Gap Input'!C11</f>
        <v>0</v>
      </c>
      <c r="C11" s="6"/>
      <c r="D11" s="6"/>
      <c r="E11" s="6"/>
      <c r="F11" s="6"/>
      <c r="G11" s="8" t="str">
        <f t="shared" si="0"/>
        <v/>
      </c>
      <c r="H11" s="9" t="str">
        <f t="shared" si="1"/>
        <v/>
      </c>
    </row>
    <row r="12" spans="1:8" x14ac:dyDescent="0.3">
      <c r="A12" s="5">
        <v>8</v>
      </c>
      <c r="B12" s="5">
        <f>'Gap Input'!C12</f>
        <v>0</v>
      </c>
      <c r="C12" s="6"/>
      <c r="D12" s="6"/>
      <c r="E12" s="6"/>
      <c r="F12" s="6"/>
      <c r="G12" s="8" t="str">
        <f t="shared" si="0"/>
        <v/>
      </c>
      <c r="H12" s="9" t="str">
        <f t="shared" si="1"/>
        <v/>
      </c>
    </row>
    <row r="13" spans="1:8" x14ac:dyDescent="0.3">
      <c r="A13" s="5">
        <v>9</v>
      </c>
      <c r="B13" s="5">
        <f>'Gap Input'!C13</f>
        <v>0</v>
      </c>
      <c r="C13" s="6"/>
      <c r="D13" s="6"/>
      <c r="E13" s="6"/>
      <c r="F13" s="6"/>
      <c r="G13" s="8" t="str">
        <f t="shared" si="0"/>
        <v/>
      </c>
      <c r="H13" s="9" t="str">
        <f t="shared" si="1"/>
        <v/>
      </c>
    </row>
    <row r="14" spans="1:8" x14ac:dyDescent="0.3">
      <c r="A14" s="5">
        <v>10</v>
      </c>
      <c r="B14" s="5">
        <f>'Gap Input'!C14</f>
        <v>0</v>
      </c>
      <c r="C14" s="6"/>
      <c r="D14" s="6"/>
      <c r="E14" s="6"/>
      <c r="F14" s="6"/>
      <c r="G14" s="8" t="str">
        <f t="shared" si="0"/>
        <v/>
      </c>
      <c r="H14" s="9" t="str">
        <f t="shared" si="1"/>
        <v/>
      </c>
    </row>
    <row r="15" spans="1:8" x14ac:dyDescent="0.3">
      <c r="A15" s="5">
        <v>11</v>
      </c>
      <c r="B15" s="5">
        <f>'Gap Input'!C15</f>
        <v>0</v>
      </c>
      <c r="C15" s="6"/>
      <c r="D15" s="6"/>
      <c r="E15" s="6"/>
      <c r="F15" s="6"/>
      <c r="G15" s="8" t="str">
        <f t="shared" si="0"/>
        <v/>
      </c>
      <c r="H15" s="9" t="str">
        <f t="shared" si="1"/>
        <v/>
      </c>
    </row>
    <row r="16" spans="1:8" x14ac:dyDescent="0.3">
      <c r="A16" s="5">
        <v>12</v>
      </c>
      <c r="B16" s="5">
        <f>'Gap Input'!C16</f>
        <v>0</v>
      </c>
      <c r="C16" s="6"/>
      <c r="D16" s="6"/>
      <c r="E16" s="6"/>
      <c r="F16" s="6"/>
      <c r="G16" s="8" t="str">
        <f t="shared" si="0"/>
        <v/>
      </c>
      <c r="H16" s="9" t="str">
        <f t="shared" si="1"/>
        <v/>
      </c>
    </row>
    <row r="17" spans="1:8" x14ac:dyDescent="0.3">
      <c r="A17" s="5">
        <v>13</v>
      </c>
      <c r="B17" s="5">
        <f>'Gap Input'!C17</f>
        <v>0</v>
      </c>
      <c r="C17" s="6"/>
      <c r="D17" s="6"/>
      <c r="E17" s="6"/>
      <c r="F17" s="6"/>
      <c r="G17" s="8" t="str">
        <f t="shared" si="0"/>
        <v/>
      </c>
      <c r="H17" s="9" t="str">
        <f t="shared" si="1"/>
        <v/>
      </c>
    </row>
    <row r="18" spans="1:8" x14ac:dyDescent="0.3">
      <c r="A18" s="5">
        <v>14</v>
      </c>
      <c r="B18" s="5">
        <f>'Gap Input'!C18</f>
        <v>0</v>
      </c>
      <c r="C18" s="6"/>
      <c r="D18" s="6"/>
      <c r="E18" s="6"/>
      <c r="F18" s="6"/>
      <c r="G18" s="8" t="str">
        <f t="shared" si="0"/>
        <v/>
      </c>
      <c r="H18" s="9" t="str">
        <f t="shared" si="1"/>
        <v/>
      </c>
    </row>
    <row r="19" spans="1:8" x14ac:dyDescent="0.3">
      <c r="A19" s="5">
        <v>15</v>
      </c>
      <c r="B19" s="5">
        <f>'Gap Input'!C19</f>
        <v>0</v>
      </c>
      <c r="C19" s="6"/>
      <c r="D19" s="6"/>
      <c r="E19" s="6"/>
      <c r="F19" s="6"/>
      <c r="G19" s="8" t="str">
        <f t="shared" si="0"/>
        <v/>
      </c>
      <c r="H19" s="9" t="str">
        <f t="shared" si="1"/>
        <v/>
      </c>
    </row>
    <row r="20" spans="1:8" x14ac:dyDescent="0.3">
      <c r="A20" s="5">
        <v>16</v>
      </c>
      <c r="B20" s="5">
        <f>'Gap Input'!C20</f>
        <v>0</v>
      </c>
      <c r="C20" s="6"/>
      <c r="D20" s="6"/>
      <c r="E20" s="6"/>
      <c r="F20" s="6"/>
      <c r="G20" s="8" t="str">
        <f t="shared" si="0"/>
        <v/>
      </c>
      <c r="H20" s="9" t="str">
        <f t="shared" si="1"/>
        <v/>
      </c>
    </row>
    <row r="21" spans="1:8" x14ac:dyDescent="0.3">
      <c r="A21" s="5">
        <v>17</v>
      </c>
      <c r="B21" s="5">
        <f>'Gap Input'!C21</f>
        <v>0</v>
      </c>
      <c r="C21" s="6"/>
      <c r="D21" s="6"/>
      <c r="E21" s="6"/>
      <c r="F21" s="6"/>
      <c r="G21" s="8" t="str">
        <f t="shared" si="0"/>
        <v/>
      </c>
      <c r="H21" s="9" t="str">
        <f t="shared" si="1"/>
        <v/>
      </c>
    </row>
    <row r="22" spans="1:8" x14ac:dyDescent="0.3">
      <c r="A22" s="5">
        <v>18</v>
      </c>
      <c r="B22" s="5">
        <f>'Gap Input'!C22</f>
        <v>0</v>
      </c>
      <c r="C22" s="6"/>
      <c r="D22" s="6"/>
      <c r="E22" s="6"/>
      <c r="F22" s="6"/>
      <c r="G22" s="8" t="str">
        <f t="shared" si="0"/>
        <v/>
      </c>
      <c r="H22" s="9" t="str">
        <f t="shared" si="1"/>
        <v/>
      </c>
    </row>
    <row r="23" spans="1:8" x14ac:dyDescent="0.3">
      <c r="A23" s="5">
        <v>19</v>
      </c>
      <c r="B23" s="5">
        <f>'Gap Input'!C23</f>
        <v>0</v>
      </c>
      <c r="C23" s="6"/>
      <c r="D23" s="6"/>
      <c r="E23" s="6"/>
      <c r="F23" s="6"/>
      <c r="G23" s="8" t="str">
        <f t="shared" si="0"/>
        <v/>
      </c>
      <c r="H23" s="9" t="str">
        <f t="shared" si="1"/>
        <v/>
      </c>
    </row>
    <row r="24" spans="1:8" x14ac:dyDescent="0.3">
      <c r="A24" s="5">
        <v>20</v>
      </c>
      <c r="B24" s="5">
        <f>'Gap Input'!C24</f>
        <v>0</v>
      </c>
      <c r="C24" s="6"/>
      <c r="D24" s="6"/>
      <c r="E24" s="6"/>
      <c r="F24" s="6"/>
      <c r="G24" s="8" t="str">
        <f t="shared" si="0"/>
        <v/>
      </c>
      <c r="H24" s="9" t="str">
        <f t="shared" si="1"/>
        <v/>
      </c>
    </row>
    <row r="27" spans="1:8" x14ac:dyDescent="0.3">
      <c r="B27" s="10" t="s">
        <v>44</v>
      </c>
    </row>
    <row r="28" spans="1:8" x14ac:dyDescent="0.3">
      <c r="B28" t="s">
        <v>45</v>
      </c>
    </row>
    <row r="29" spans="1:8" x14ac:dyDescent="0.3">
      <c r="B29" t="s">
        <v>46</v>
      </c>
    </row>
    <row r="30" spans="1:8" x14ac:dyDescent="0.3">
      <c r="B30" t="s">
        <v>47</v>
      </c>
    </row>
    <row r="31" spans="1:8" x14ac:dyDescent="0.3">
      <c r="B31" t="s">
        <v>48</v>
      </c>
    </row>
  </sheetData>
  <mergeCells count="1">
    <mergeCell ref="B1:H1"/>
  </mergeCells>
  <dataValidations count="4">
    <dataValidation type="list" allowBlank="1" sqref="C5 C6 C7 C8 C9 C10 C11 C12 C13 C14 C15 C16 C17 C18 C19 C20 C21 C22 C23 C24" xr:uid="{00000000-0002-0000-0200-000000000000}">
      <formula1>"1 - Low,2 - Medium-Low,3 - Medium,4 - Medium-High,5 - High"</formula1>
    </dataValidation>
    <dataValidation type="list" allowBlank="1" sqref="D5 D6 D7 D8 D9 D10 D11 D12 D13 D14 D15 D16 D17 D18 D19 D20 D21 D22 D23 D24" xr:uid="{00000000-0002-0000-0200-000001000000}">
      <formula1>"1 - Very Easy,2 - Easy,3 - Moderate,4 - Difficult,5 - Very Difficult"</formula1>
    </dataValidation>
    <dataValidation type="list" allowBlank="1" sqref="E5 E6 E7 E8 E9 E10 E11 E12 E13 E14 E15 E16 E17 E18 E19 E20 E21 E22 E23 E24" xr:uid="{00000000-0002-0000-0200-000002000000}">
      <formula1>"€ - Minimal,€€ - Low,€€€ - Medium,€€€€ - High,€€€€€ - Very High"</formula1>
    </dataValidation>
    <dataValidation type="list" allowBlank="1" sqref="F5 F6 F7 F8 F9 F10 F11 F12 F13 F14 F15 F16 F17 F18 F19 F20 F21 F22 F23 F24" xr:uid="{00000000-0002-0000-0200-000003000000}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7"/>
  <sheetViews>
    <sheetView workbookViewId="0">
      <selection activeCell="C5" sqref="C5"/>
    </sheetView>
  </sheetViews>
  <sheetFormatPr defaultRowHeight="14.4" x14ac:dyDescent="0.3"/>
  <cols>
    <col min="2" max="2" width="35" customWidth="1"/>
    <col min="3" max="4" width="15" customWidth="1"/>
    <col min="5" max="5" width="12" customWidth="1"/>
    <col min="6" max="6" width="30" customWidth="1"/>
  </cols>
  <sheetData>
    <row r="1" spans="2:6" ht="18" x14ac:dyDescent="0.35">
      <c r="B1" s="12" t="s">
        <v>49</v>
      </c>
      <c r="C1" s="13"/>
      <c r="D1" s="13"/>
      <c r="E1" s="13"/>
      <c r="F1" s="13"/>
    </row>
    <row r="2" spans="2:6" x14ac:dyDescent="0.3">
      <c r="B2" t="s">
        <v>50</v>
      </c>
    </row>
    <row r="4" spans="2:6" x14ac:dyDescent="0.3">
      <c r="B4" s="4" t="s">
        <v>51</v>
      </c>
      <c r="C4" s="4" t="s">
        <v>42</v>
      </c>
      <c r="D4" s="4" t="s">
        <v>43</v>
      </c>
      <c r="E4" s="4" t="s">
        <v>40</v>
      </c>
      <c r="F4" s="4" t="s">
        <v>52</v>
      </c>
    </row>
    <row r="5" spans="2:6" x14ac:dyDescent="0.3">
      <c r="B5" s="5">
        <f>'Priority Scoring'!B5</f>
        <v>0</v>
      </c>
      <c r="C5" s="5" t="str">
        <f>'Priority Scoring'!G5</f>
        <v/>
      </c>
      <c r="D5" s="5" t="str">
        <f>'Priority Scoring'!H5</f>
        <v/>
      </c>
      <c r="E5" s="5">
        <f>'Priority Scoring'!E5</f>
        <v>0</v>
      </c>
      <c r="F5" s="5" t="str">
        <f t="shared" ref="F5:F24" si="0">IF(D5="","",IF(D5="Q1: DO FIRST","Immediate - Next 30 days",IF(D5="Q2: PLAN CAREFULLY","Short-term - 1-3 months",IF(D5="Q3: WHEN TIME ALLOWS","Medium-term - 3-6 months","Long-term - 6+ months"))))</f>
        <v/>
      </c>
    </row>
    <row r="6" spans="2:6" x14ac:dyDescent="0.3">
      <c r="B6" s="5">
        <f>'Priority Scoring'!B6</f>
        <v>0</v>
      </c>
      <c r="C6" s="5" t="str">
        <f>'Priority Scoring'!G6</f>
        <v/>
      </c>
      <c r="D6" s="5" t="str">
        <f>'Priority Scoring'!H6</f>
        <v/>
      </c>
      <c r="E6" s="5">
        <f>'Priority Scoring'!E6</f>
        <v>0</v>
      </c>
      <c r="F6" s="5" t="str">
        <f t="shared" si="0"/>
        <v/>
      </c>
    </row>
    <row r="7" spans="2:6" x14ac:dyDescent="0.3">
      <c r="B7" s="5">
        <f>'Priority Scoring'!B7</f>
        <v>0</v>
      </c>
      <c r="C7" s="5" t="str">
        <f>'Priority Scoring'!G7</f>
        <v/>
      </c>
      <c r="D7" s="5" t="str">
        <f>'Priority Scoring'!H7</f>
        <v/>
      </c>
      <c r="E7" s="5">
        <f>'Priority Scoring'!E7</f>
        <v>0</v>
      </c>
      <c r="F7" s="5" t="str">
        <f t="shared" si="0"/>
        <v/>
      </c>
    </row>
    <row r="8" spans="2:6" x14ac:dyDescent="0.3">
      <c r="B8" s="5">
        <f>'Priority Scoring'!B8</f>
        <v>0</v>
      </c>
      <c r="C8" s="5" t="str">
        <f>'Priority Scoring'!G8</f>
        <v/>
      </c>
      <c r="D8" s="5" t="str">
        <f>'Priority Scoring'!H8</f>
        <v/>
      </c>
      <c r="E8" s="5">
        <f>'Priority Scoring'!E8</f>
        <v>0</v>
      </c>
      <c r="F8" s="5" t="str">
        <f t="shared" si="0"/>
        <v/>
      </c>
    </row>
    <row r="9" spans="2:6" x14ac:dyDescent="0.3">
      <c r="B9" s="5">
        <f>'Priority Scoring'!B9</f>
        <v>0</v>
      </c>
      <c r="C9" s="5" t="str">
        <f>'Priority Scoring'!G9</f>
        <v/>
      </c>
      <c r="D9" s="5" t="str">
        <f>'Priority Scoring'!H9</f>
        <v/>
      </c>
      <c r="E9" s="5">
        <f>'Priority Scoring'!E9</f>
        <v>0</v>
      </c>
      <c r="F9" s="5" t="str">
        <f t="shared" si="0"/>
        <v/>
      </c>
    </row>
    <row r="10" spans="2:6" x14ac:dyDescent="0.3">
      <c r="B10" s="5">
        <f>'Priority Scoring'!B10</f>
        <v>0</v>
      </c>
      <c r="C10" s="5" t="str">
        <f>'Priority Scoring'!G10</f>
        <v/>
      </c>
      <c r="D10" s="5" t="str">
        <f>'Priority Scoring'!H10</f>
        <v/>
      </c>
      <c r="E10" s="5">
        <f>'Priority Scoring'!E10</f>
        <v>0</v>
      </c>
      <c r="F10" s="5" t="str">
        <f t="shared" si="0"/>
        <v/>
      </c>
    </row>
    <row r="11" spans="2:6" x14ac:dyDescent="0.3">
      <c r="B11" s="5">
        <f>'Priority Scoring'!B11</f>
        <v>0</v>
      </c>
      <c r="C11" s="5" t="str">
        <f>'Priority Scoring'!G11</f>
        <v/>
      </c>
      <c r="D11" s="5" t="str">
        <f>'Priority Scoring'!H11</f>
        <v/>
      </c>
      <c r="E11" s="5">
        <f>'Priority Scoring'!E11</f>
        <v>0</v>
      </c>
      <c r="F11" s="5" t="str">
        <f t="shared" si="0"/>
        <v/>
      </c>
    </row>
    <row r="12" spans="2:6" x14ac:dyDescent="0.3">
      <c r="B12" s="5">
        <f>'Priority Scoring'!B12</f>
        <v>0</v>
      </c>
      <c r="C12" s="5" t="str">
        <f>'Priority Scoring'!G12</f>
        <v/>
      </c>
      <c r="D12" s="5" t="str">
        <f>'Priority Scoring'!H12</f>
        <v/>
      </c>
      <c r="E12" s="5">
        <f>'Priority Scoring'!E12</f>
        <v>0</v>
      </c>
      <c r="F12" s="5" t="str">
        <f t="shared" si="0"/>
        <v/>
      </c>
    </row>
    <row r="13" spans="2:6" x14ac:dyDescent="0.3">
      <c r="B13" s="5">
        <f>'Priority Scoring'!B13</f>
        <v>0</v>
      </c>
      <c r="C13" s="5" t="str">
        <f>'Priority Scoring'!G13</f>
        <v/>
      </c>
      <c r="D13" s="5" t="str">
        <f>'Priority Scoring'!H13</f>
        <v/>
      </c>
      <c r="E13" s="5">
        <f>'Priority Scoring'!E13</f>
        <v>0</v>
      </c>
      <c r="F13" s="5" t="str">
        <f t="shared" si="0"/>
        <v/>
      </c>
    </row>
    <row r="14" spans="2:6" x14ac:dyDescent="0.3">
      <c r="B14" s="5">
        <f>'Priority Scoring'!B14</f>
        <v>0</v>
      </c>
      <c r="C14" s="5" t="str">
        <f>'Priority Scoring'!G14</f>
        <v/>
      </c>
      <c r="D14" s="5" t="str">
        <f>'Priority Scoring'!H14</f>
        <v/>
      </c>
      <c r="E14" s="5">
        <f>'Priority Scoring'!E14</f>
        <v>0</v>
      </c>
      <c r="F14" s="5" t="str">
        <f t="shared" si="0"/>
        <v/>
      </c>
    </row>
    <row r="15" spans="2:6" x14ac:dyDescent="0.3">
      <c r="B15" s="5">
        <f>'Priority Scoring'!B15</f>
        <v>0</v>
      </c>
      <c r="C15" s="5" t="str">
        <f>'Priority Scoring'!G15</f>
        <v/>
      </c>
      <c r="D15" s="5" t="str">
        <f>'Priority Scoring'!H15</f>
        <v/>
      </c>
      <c r="E15" s="5">
        <f>'Priority Scoring'!E15</f>
        <v>0</v>
      </c>
      <c r="F15" s="5" t="str">
        <f t="shared" si="0"/>
        <v/>
      </c>
    </row>
    <row r="16" spans="2:6" x14ac:dyDescent="0.3">
      <c r="B16" s="5">
        <f>'Priority Scoring'!B16</f>
        <v>0</v>
      </c>
      <c r="C16" s="5" t="str">
        <f>'Priority Scoring'!G16</f>
        <v/>
      </c>
      <c r="D16" s="5" t="str">
        <f>'Priority Scoring'!H16</f>
        <v/>
      </c>
      <c r="E16" s="5">
        <f>'Priority Scoring'!E16</f>
        <v>0</v>
      </c>
      <c r="F16" s="5" t="str">
        <f t="shared" si="0"/>
        <v/>
      </c>
    </row>
    <row r="17" spans="2:6" x14ac:dyDescent="0.3">
      <c r="B17" s="5">
        <f>'Priority Scoring'!B17</f>
        <v>0</v>
      </c>
      <c r="C17" s="5" t="str">
        <f>'Priority Scoring'!G17</f>
        <v/>
      </c>
      <c r="D17" s="5" t="str">
        <f>'Priority Scoring'!H17</f>
        <v/>
      </c>
      <c r="E17" s="5">
        <f>'Priority Scoring'!E17</f>
        <v>0</v>
      </c>
      <c r="F17" s="5" t="str">
        <f t="shared" si="0"/>
        <v/>
      </c>
    </row>
    <row r="18" spans="2:6" x14ac:dyDescent="0.3">
      <c r="B18" s="5">
        <f>'Priority Scoring'!B18</f>
        <v>0</v>
      </c>
      <c r="C18" s="5" t="str">
        <f>'Priority Scoring'!G18</f>
        <v/>
      </c>
      <c r="D18" s="5" t="str">
        <f>'Priority Scoring'!H18</f>
        <v/>
      </c>
      <c r="E18" s="5">
        <f>'Priority Scoring'!E18</f>
        <v>0</v>
      </c>
      <c r="F18" s="5" t="str">
        <f t="shared" si="0"/>
        <v/>
      </c>
    </row>
    <row r="19" spans="2:6" x14ac:dyDescent="0.3">
      <c r="B19" s="5">
        <f>'Priority Scoring'!B19</f>
        <v>0</v>
      </c>
      <c r="C19" s="5" t="str">
        <f>'Priority Scoring'!G19</f>
        <v/>
      </c>
      <c r="D19" s="5" t="str">
        <f>'Priority Scoring'!H19</f>
        <v/>
      </c>
      <c r="E19" s="5">
        <f>'Priority Scoring'!E19</f>
        <v>0</v>
      </c>
      <c r="F19" s="5" t="str">
        <f t="shared" si="0"/>
        <v/>
      </c>
    </row>
    <row r="20" spans="2:6" x14ac:dyDescent="0.3">
      <c r="B20" s="5">
        <f>'Priority Scoring'!B20</f>
        <v>0</v>
      </c>
      <c r="C20" s="5" t="str">
        <f>'Priority Scoring'!G20</f>
        <v/>
      </c>
      <c r="D20" s="5" t="str">
        <f>'Priority Scoring'!H20</f>
        <v/>
      </c>
      <c r="E20" s="5">
        <f>'Priority Scoring'!E20</f>
        <v>0</v>
      </c>
      <c r="F20" s="5" t="str">
        <f t="shared" si="0"/>
        <v/>
      </c>
    </row>
    <row r="21" spans="2:6" x14ac:dyDescent="0.3">
      <c r="B21" s="5">
        <f>'Priority Scoring'!B21</f>
        <v>0</v>
      </c>
      <c r="C21" s="5" t="str">
        <f>'Priority Scoring'!G21</f>
        <v/>
      </c>
      <c r="D21" s="5" t="str">
        <f>'Priority Scoring'!H21</f>
        <v/>
      </c>
      <c r="E21" s="5">
        <f>'Priority Scoring'!E21</f>
        <v>0</v>
      </c>
      <c r="F21" s="5" t="str">
        <f t="shared" si="0"/>
        <v/>
      </c>
    </row>
    <row r="22" spans="2:6" x14ac:dyDescent="0.3">
      <c r="B22" s="5">
        <f>'Priority Scoring'!B22</f>
        <v>0</v>
      </c>
      <c r="C22" s="5" t="str">
        <f>'Priority Scoring'!G22</f>
        <v/>
      </c>
      <c r="D22" s="5" t="str">
        <f>'Priority Scoring'!H22</f>
        <v/>
      </c>
      <c r="E22" s="5">
        <f>'Priority Scoring'!E22</f>
        <v>0</v>
      </c>
      <c r="F22" s="5" t="str">
        <f t="shared" si="0"/>
        <v/>
      </c>
    </row>
    <row r="23" spans="2:6" x14ac:dyDescent="0.3">
      <c r="B23" s="5">
        <f>'Priority Scoring'!B23</f>
        <v>0</v>
      </c>
      <c r="C23" s="5" t="str">
        <f>'Priority Scoring'!G23</f>
        <v/>
      </c>
      <c r="D23" s="5" t="str">
        <f>'Priority Scoring'!H23</f>
        <v/>
      </c>
      <c r="E23" s="5">
        <f>'Priority Scoring'!E23</f>
        <v>0</v>
      </c>
      <c r="F23" s="5" t="str">
        <f t="shared" si="0"/>
        <v/>
      </c>
    </row>
    <row r="24" spans="2:6" x14ac:dyDescent="0.3">
      <c r="B24" s="5">
        <f>'Priority Scoring'!B24</f>
        <v>0</v>
      </c>
      <c r="C24" s="5" t="str">
        <f>'Priority Scoring'!G24</f>
        <v/>
      </c>
      <c r="D24" s="5" t="str">
        <f>'Priority Scoring'!H24</f>
        <v/>
      </c>
      <c r="E24" s="5">
        <f>'Priority Scoring'!E24</f>
        <v>0</v>
      </c>
      <c r="F24" s="5" t="str">
        <f t="shared" si="0"/>
        <v/>
      </c>
    </row>
    <row r="27" spans="2:6" x14ac:dyDescent="0.3">
      <c r="B27" s="11" t="s">
        <v>53</v>
      </c>
    </row>
  </sheetData>
  <mergeCells count="1"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8"/>
  <sheetViews>
    <sheetView workbookViewId="0"/>
  </sheetViews>
  <sheetFormatPr defaultRowHeight="14.4" x14ac:dyDescent="0.3"/>
  <cols>
    <col min="2" max="2" width="25" customWidth="1"/>
    <col min="3" max="5" width="15" customWidth="1"/>
  </cols>
  <sheetData>
    <row r="1" spans="2:5" ht="18" x14ac:dyDescent="0.35">
      <c r="B1" s="12" t="s">
        <v>54</v>
      </c>
      <c r="C1" s="13"/>
      <c r="D1" s="13"/>
      <c r="E1" s="13"/>
    </row>
    <row r="4" spans="2:5" x14ac:dyDescent="0.3">
      <c r="B4" s="10" t="s">
        <v>55</v>
      </c>
    </row>
    <row r="5" spans="2:5" x14ac:dyDescent="0.3">
      <c r="B5" s="4" t="s">
        <v>43</v>
      </c>
      <c r="C5" s="4" t="s">
        <v>56</v>
      </c>
      <c r="D5" s="4" t="s">
        <v>57</v>
      </c>
    </row>
    <row r="6" spans="2:5" x14ac:dyDescent="0.3">
      <c r="B6" s="5" t="s">
        <v>58</v>
      </c>
      <c r="C6" s="5">
        <f>COUNTIF('Priority Scoring'!H:H,"Q1: DO FIRST")</f>
        <v>0</v>
      </c>
      <c r="D6" s="5" t="s">
        <v>59</v>
      </c>
    </row>
    <row r="7" spans="2:5" x14ac:dyDescent="0.3">
      <c r="B7" s="5" t="s">
        <v>60</v>
      </c>
      <c r="C7" s="5">
        <f>COUNTIF('Priority Scoring'!H:H,"Q2: PLAN CAREFULLY")</f>
        <v>0</v>
      </c>
      <c r="D7" s="5" t="s">
        <v>61</v>
      </c>
    </row>
    <row r="8" spans="2:5" x14ac:dyDescent="0.3">
      <c r="B8" s="5" t="s">
        <v>62</v>
      </c>
      <c r="C8" s="5">
        <f>COUNTIF('Priority Scoring'!H:H,"Q3: WHEN TIME ALLOWS")</f>
        <v>0</v>
      </c>
      <c r="D8" s="5" t="s">
        <v>63</v>
      </c>
    </row>
    <row r="9" spans="2:5" x14ac:dyDescent="0.3">
      <c r="B9" s="5" t="s">
        <v>64</v>
      </c>
      <c r="C9" s="5">
        <f>COUNTIF('Priority Scoring'!H:H,"Q4: DEFER")</f>
        <v>0</v>
      </c>
      <c r="D9" s="5" t="s">
        <v>65</v>
      </c>
    </row>
    <row r="12" spans="2:5" x14ac:dyDescent="0.3">
      <c r="B12" s="10" t="s">
        <v>66</v>
      </c>
    </row>
    <row r="13" spans="2:5" x14ac:dyDescent="0.3">
      <c r="B13" t="s">
        <v>67</v>
      </c>
      <c r="C13">
        <f>COUNTA('Gap Input'!C5:C24)</f>
        <v>0</v>
      </c>
    </row>
    <row r="15" spans="2:5" x14ac:dyDescent="0.3">
      <c r="B15" t="s">
        <v>68</v>
      </c>
    </row>
    <row r="16" spans="2:5" x14ac:dyDescent="0.3">
      <c r="B16" t="s">
        <v>69</v>
      </c>
    </row>
    <row r="17" spans="2:2" x14ac:dyDescent="0.3">
      <c r="B17" t="s">
        <v>70</v>
      </c>
    </row>
    <row r="18" spans="2:2" x14ac:dyDescent="0.3">
      <c r="B18" t="s">
        <v>71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Gap Input</vt:lpstr>
      <vt:lpstr>Priority Scoring</vt:lpstr>
      <vt:lpstr>Action Roadmap</vt:lpstr>
      <vt:lpstr>Resource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2026-01-22T20:42:00Z</dcterms:created>
  <dcterms:modified xsi:type="dcterms:W3CDTF">2026-01-23T14:32:02Z</dcterms:modified>
</cp:coreProperties>
</file>